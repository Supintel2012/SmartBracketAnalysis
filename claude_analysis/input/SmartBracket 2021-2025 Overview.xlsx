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lipsy/MATLAB_DRIVE/SmartBracket/Performance/"/>
    </mc:Choice>
  </mc:AlternateContent>
  <xr:revisionPtr revIDLastSave="0" documentId="13_ncr:1_{1DA38687-679F-8B4C-AE43-87BBEF8F31F8}" xr6:coauthVersionLast="47" xr6:coauthVersionMax="47" xr10:uidLastSave="{00000000-0000-0000-0000-000000000000}"/>
  <bookViews>
    <workbookView xWindow="0" yWindow="880" windowWidth="36000" windowHeight="21500" xr2:uid="{00000000-000D-0000-FFFF-FFFF00000000}"/>
  </bookViews>
  <sheets>
    <sheet name="Summary" sheetId="2" r:id="rId1"/>
    <sheet name="payments_2025" sheetId="8" r:id="rId2"/>
    <sheet name="payments_2024" sheetId="7" r:id="rId3"/>
    <sheet name="payments_2023" sheetId="6" r:id="rId4"/>
    <sheet name="payments_2022" sheetId="1" r:id="rId5"/>
    <sheet name="payments_2021" sheetId="4" r:id="rId6"/>
    <sheet name="Comparisons Consumer v Business" sheetId="5" r:id="rId7"/>
  </sheets>
  <definedNames>
    <definedName name="_xlnm._FilterDatabase" localSheetId="5" hidden="1">payments_2021!$A$1:$V$57</definedName>
    <definedName name="_xlnm._FilterDatabase" localSheetId="4" hidden="1">payments_2022!$A$1:$V$100</definedName>
    <definedName name="_xlnm._FilterDatabase" localSheetId="3" hidden="1">payments_2023!$A$1:$BF$138</definedName>
    <definedName name="_xlnm._FilterDatabase" localSheetId="2" hidden="1">payments_2024!$A$1:$Z$110</definedName>
  </definedNames>
  <calcPr calcId="191029"/>
  <pivotCaches>
    <pivotCache cacheId="5" r:id="rId8"/>
    <pivotCache cacheId="6" r:id="rId9"/>
    <pivotCache cacheId="7" r:id="rId10"/>
    <pivotCache cacheId="8" r:id="rId11"/>
    <pivotCache cacheId="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/>
  <c r="J5" i="2"/>
  <c r="J4" i="2"/>
  <c r="B50" i="2" s="1"/>
  <c r="J3" i="2"/>
  <c r="C51" i="2"/>
  <c r="J12" i="2"/>
  <c r="J13" i="2"/>
  <c r="C50" i="2" s="1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Z110" i="7"/>
  <c r="G110" i="7"/>
  <c r="C110" i="7"/>
  <c r="Z109" i="7"/>
  <c r="G109" i="7"/>
  <c r="C109" i="7"/>
  <c r="Z108" i="7"/>
  <c r="G108" i="7"/>
  <c r="C108" i="7"/>
  <c r="Z107" i="7"/>
  <c r="G107" i="7"/>
  <c r="C107" i="7"/>
  <c r="Z106" i="7"/>
  <c r="G106" i="7"/>
  <c r="C106" i="7"/>
  <c r="Z105" i="7"/>
  <c r="G105" i="7"/>
  <c r="C105" i="7"/>
  <c r="Z104" i="7"/>
  <c r="G104" i="7"/>
  <c r="C104" i="7"/>
  <c r="Z103" i="7"/>
  <c r="G103" i="7"/>
  <c r="C103" i="7"/>
  <c r="Z102" i="7"/>
  <c r="G102" i="7"/>
  <c r="C102" i="7"/>
  <c r="Z101" i="7"/>
  <c r="G101" i="7"/>
  <c r="C101" i="7"/>
  <c r="Z100" i="7"/>
  <c r="G100" i="7"/>
  <c r="C100" i="7"/>
  <c r="Z99" i="7"/>
  <c r="G99" i="7"/>
  <c r="C99" i="7"/>
  <c r="Z98" i="7"/>
  <c r="G98" i="7"/>
  <c r="C98" i="7"/>
  <c r="Z97" i="7"/>
  <c r="G97" i="7"/>
  <c r="C97" i="7"/>
  <c r="Z96" i="7"/>
  <c r="G96" i="7"/>
  <c r="C96" i="7"/>
  <c r="Z95" i="7"/>
  <c r="G95" i="7"/>
  <c r="C95" i="7"/>
  <c r="Z94" i="7"/>
  <c r="G94" i="7"/>
  <c r="C94" i="7"/>
  <c r="Z93" i="7"/>
  <c r="G93" i="7"/>
  <c r="C93" i="7"/>
  <c r="Z92" i="7"/>
  <c r="G92" i="7"/>
  <c r="C92" i="7"/>
  <c r="Z91" i="7"/>
  <c r="G91" i="7"/>
  <c r="C91" i="7"/>
  <c r="Z90" i="7"/>
  <c r="G90" i="7"/>
  <c r="C90" i="7"/>
  <c r="Z89" i="7"/>
  <c r="G89" i="7"/>
  <c r="C89" i="7"/>
  <c r="Z88" i="7"/>
  <c r="G88" i="7"/>
  <c r="C88" i="7"/>
  <c r="Z87" i="7"/>
  <c r="G87" i="7"/>
  <c r="C87" i="7"/>
  <c r="Z86" i="7"/>
  <c r="G86" i="7"/>
  <c r="C86" i="7"/>
  <c r="Z85" i="7"/>
  <c r="G85" i="7"/>
  <c r="C85" i="7"/>
  <c r="Z84" i="7"/>
  <c r="G84" i="7"/>
  <c r="C84" i="7"/>
  <c r="Z83" i="7"/>
  <c r="G83" i="7"/>
  <c r="C83" i="7"/>
  <c r="Z82" i="7"/>
  <c r="G82" i="7"/>
  <c r="C82" i="7"/>
  <c r="Z81" i="7"/>
  <c r="G81" i="7"/>
  <c r="C81" i="7"/>
  <c r="Z80" i="7"/>
  <c r="G80" i="7"/>
  <c r="C80" i="7"/>
  <c r="Z79" i="7"/>
  <c r="G79" i="7"/>
  <c r="C79" i="7"/>
  <c r="Z78" i="7"/>
  <c r="G78" i="7"/>
  <c r="C78" i="7"/>
  <c r="Z77" i="7"/>
  <c r="G77" i="7"/>
  <c r="C77" i="7"/>
  <c r="Z76" i="7"/>
  <c r="G76" i="7"/>
  <c r="C76" i="7"/>
  <c r="Z75" i="7"/>
  <c r="G75" i="7"/>
  <c r="C75" i="7"/>
  <c r="Z74" i="7"/>
  <c r="G74" i="7"/>
  <c r="C74" i="7"/>
  <c r="Z73" i="7"/>
  <c r="G73" i="7"/>
  <c r="C73" i="7"/>
  <c r="Z72" i="7"/>
  <c r="G72" i="7"/>
  <c r="C72" i="7"/>
  <c r="Z71" i="7"/>
  <c r="G71" i="7"/>
  <c r="C71" i="7"/>
  <c r="Z70" i="7"/>
  <c r="G70" i="7"/>
  <c r="C70" i="7"/>
  <c r="Z69" i="7"/>
  <c r="G69" i="7"/>
  <c r="C69" i="7"/>
  <c r="Z68" i="7"/>
  <c r="G68" i="7"/>
  <c r="C68" i="7"/>
  <c r="Z67" i="7"/>
  <c r="G67" i="7"/>
  <c r="C67" i="7"/>
  <c r="Z66" i="7"/>
  <c r="G66" i="7"/>
  <c r="C66" i="7"/>
  <c r="Z65" i="7"/>
  <c r="G65" i="7"/>
  <c r="C65" i="7"/>
  <c r="Z64" i="7"/>
  <c r="G64" i="7"/>
  <c r="C64" i="7"/>
  <c r="Z63" i="7"/>
  <c r="G63" i="7"/>
  <c r="C63" i="7"/>
  <c r="Z62" i="7"/>
  <c r="G62" i="7"/>
  <c r="C62" i="7"/>
  <c r="Z61" i="7"/>
  <c r="G61" i="7"/>
  <c r="C61" i="7"/>
  <c r="Z60" i="7"/>
  <c r="G60" i="7"/>
  <c r="C60" i="7"/>
  <c r="Z59" i="7"/>
  <c r="G59" i="7"/>
  <c r="C59" i="7"/>
  <c r="Z58" i="7"/>
  <c r="G58" i="7"/>
  <c r="C58" i="7"/>
  <c r="Z57" i="7"/>
  <c r="G57" i="7"/>
  <c r="C57" i="7"/>
  <c r="Z56" i="7"/>
  <c r="G56" i="7"/>
  <c r="C56" i="7"/>
  <c r="Z55" i="7"/>
  <c r="G55" i="7"/>
  <c r="C55" i="7"/>
  <c r="Z54" i="7"/>
  <c r="G54" i="7"/>
  <c r="C54" i="7"/>
  <c r="Z53" i="7"/>
  <c r="G53" i="7"/>
  <c r="C53" i="7"/>
  <c r="Z52" i="7"/>
  <c r="G52" i="7"/>
  <c r="C52" i="7"/>
  <c r="Z51" i="7"/>
  <c r="G51" i="7"/>
  <c r="C51" i="7"/>
  <c r="Z50" i="7"/>
  <c r="G50" i="7"/>
  <c r="C50" i="7"/>
  <c r="Z49" i="7"/>
  <c r="G49" i="7"/>
  <c r="C49" i="7"/>
  <c r="Z48" i="7"/>
  <c r="G48" i="7"/>
  <c r="C48" i="7"/>
  <c r="Z47" i="7"/>
  <c r="G47" i="7"/>
  <c r="C47" i="7"/>
  <c r="Z46" i="7"/>
  <c r="G46" i="7"/>
  <c r="C46" i="7"/>
  <c r="Z45" i="7"/>
  <c r="G45" i="7"/>
  <c r="C45" i="7"/>
  <c r="Z44" i="7"/>
  <c r="G44" i="7"/>
  <c r="C44" i="7"/>
  <c r="Z43" i="7"/>
  <c r="G43" i="7"/>
  <c r="C43" i="7"/>
  <c r="Z42" i="7"/>
  <c r="G42" i="7"/>
  <c r="C42" i="7"/>
  <c r="Z41" i="7"/>
  <c r="G41" i="7"/>
  <c r="C41" i="7"/>
  <c r="Z40" i="7"/>
  <c r="G40" i="7"/>
  <c r="C40" i="7"/>
  <c r="Z39" i="7"/>
  <c r="G39" i="7"/>
  <c r="C39" i="7"/>
  <c r="Z38" i="7"/>
  <c r="G38" i="7"/>
  <c r="C38" i="7"/>
  <c r="Z37" i="7"/>
  <c r="G37" i="7"/>
  <c r="C37" i="7"/>
  <c r="Z36" i="7"/>
  <c r="G36" i="7"/>
  <c r="C36" i="7"/>
  <c r="Z35" i="7"/>
  <c r="G35" i="7"/>
  <c r="C35" i="7"/>
  <c r="Z34" i="7"/>
  <c r="G34" i="7"/>
  <c r="C34" i="7"/>
  <c r="Z33" i="7"/>
  <c r="G33" i="7"/>
  <c r="C33" i="7"/>
  <c r="Z32" i="7"/>
  <c r="G32" i="7"/>
  <c r="C32" i="7"/>
  <c r="Z31" i="7"/>
  <c r="G31" i="7"/>
  <c r="C31" i="7"/>
  <c r="Z30" i="7"/>
  <c r="G30" i="7"/>
  <c r="C30" i="7"/>
  <c r="Z29" i="7"/>
  <c r="G29" i="7"/>
  <c r="C29" i="7"/>
  <c r="Z28" i="7"/>
  <c r="G28" i="7"/>
  <c r="C28" i="7"/>
  <c r="Z27" i="7"/>
  <c r="G27" i="7"/>
  <c r="C27" i="7"/>
  <c r="Z26" i="7"/>
  <c r="G26" i="7"/>
  <c r="C26" i="7"/>
  <c r="Z25" i="7"/>
  <c r="G25" i="7"/>
  <c r="C25" i="7"/>
  <c r="Z24" i="7"/>
  <c r="G24" i="7"/>
  <c r="C24" i="7"/>
  <c r="Z23" i="7"/>
  <c r="G23" i="7"/>
  <c r="C23" i="7"/>
  <c r="Z22" i="7"/>
  <c r="G22" i="7"/>
  <c r="C22" i="7"/>
  <c r="Z21" i="7"/>
  <c r="G21" i="7"/>
  <c r="C21" i="7"/>
  <c r="Z20" i="7"/>
  <c r="G20" i="7"/>
  <c r="C20" i="7"/>
  <c r="Z19" i="7"/>
  <c r="G19" i="7"/>
  <c r="C19" i="7"/>
  <c r="Z18" i="7"/>
  <c r="G18" i="7"/>
  <c r="C18" i="7"/>
  <c r="Z17" i="7"/>
  <c r="G17" i="7"/>
  <c r="C17" i="7"/>
  <c r="Z16" i="7"/>
  <c r="G16" i="7"/>
  <c r="C16" i="7"/>
  <c r="Z15" i="7"/>
  <c r="G15" i="7"/>
  <c r="C15" i="7"/>
  <c r="Z14" i="7"/>
  <c r="G14" i="7"/>
  <c r="C14" i="7"/>
  <c r="Z13" i="7"/>
  <c r="G13" i="7"/>
  <c r="C13" i="7"/>
  <c r="Z12" i="7"/>
  <c r="G12" i="7"/>
  <c r="C12" i="7"/>
  <c r="Z11" i="7"/>
  <c r="G11" i="7"/>
  <c r="C11" i="7"/>
  <c r="Z10" i="7"/>
  <c r="G10" i="7"/>
  <c r="C10" i="7"/>
  <c r="Z9" i="7"/>
  <c r="G9" i="7"/>
  <c r="C9" i="7"/>
  <c r="Z8" i="7"/>
  <c r="G8" i="7"/>
  <c r="C8" i="7"/>
  <c r="Z7" i="7"/>
  <c r="G7" i="7"/>
  <c r="C7" i="7"/>
  <c r="Z6" i="7"/>
  <c r="G6" i="7"/>
  <c r="C6" i="7"/>
  <c r="Z5" i="7"/>
  <c r="G5" i="7"/>
  <c r="C5" i="7"/>
  <c r="Z4" i="7"/>
  <c r="G4" i="7"/>
  <c r="C4" i="7"/>
  <c r="Z3" i="7"/>
  <c r="G3" i="7"/>
  <c r="C3" i="7"/>
  <c r="Z2" i="7"/>
  <c r="G2" i="7"/>
  <c r="C2" i="7"/>
  <c r="D51" i="2"/>
  <c r="J51" i="2" s="1"/>
  <c r="F3" i="6"/>
  <c r="F4" i="6"/>
  <c r="F5" i="6"/>
  <c r="F6" i="6"/>
  <c r="F7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2" i="6"/>
  <c r="H30" i="5"/>
  <c r="G30" i="5"/>
  <c r="I30" i="5" s="1"/>
  <c r="L10" i="5"/>
  <c r="L18" i="5"/>
  <c r="L28" i="5"/>
  <c r="I29" i="5"/>
  <c r="I28" i="5"/>
  <c r="C28" i="5"/>
  <c r="N28" i="5" s="1"/>
  <c r="N18" i="5"/>
  <c r="H21" i="5"/>
  <c r="H23" i="5" s="1"/>
  <c r="G18" i="5"/>
  <c r="G23" i="5" s="1"/>
  <c r="M18" i="5" s="1"/>
  <c r="I22" i="5"/>
  <c r="N10" i="5"/>
  <c r="G12" i="5"/>
  <c r="M10" i="5" s="1"/>
  <c r="I10" i="5"/>
  <c r="I11" i="5"/>
  <c r="E51" i="2"/>
  <c r="F51" i="2"/>
  <c r="B53" i="2"/>
  <c r="B52" i="2"/>
  <c r="C53" i="2"/>
  <c r="C52" i="2"/>
  <c r="J19" i="2"/>
  <c r="E52" i="2"/>
  <c r="S4" i="5"/>
  <c r="J27" i="2"/>
  <c r="S2" i="5"/>
  <c r="E53" i="2"/>
  <c r="J21" i="2"/>
  <c r="J30" i="2"/>
  <c r="F53" i="2"/>
  <c r="J29" i="2"/>
  <c r="J39" i="2"/>
  <c r="D52" i="2"/>
  <c r="J20" i="2"/>
  <c r="F52" i="2"/>
  <c r="D53" i="2"/>
  <c r="K50" i="2" l="1"/>
  <c r="K51" i="2"/>
  <c r="J52" i="2"/>
  <c r="J53" i="2"/>
  <c r="K52" i="2"/>
  <c r="K53" i="2"/>
  <c r="J50" i="2"/>
  <c r="B55" i="2"/>
  <c r="C55" i="2"/>
  <c r="I53" i="2"/>
  <c r="G53" i="2"/>
  <c r="D50" i="2"/>
  <c r="I52" i="2"/>
  <c r="G52" i="2"/>
  <c r="E50" i="2"/>
  <c r="F55" i="2"/>
  <c r="D55" i="2"/>
  <c r="I51" i="2"/>
  <c r="H51" i="2"/>
  <c r="E55" i="2"/>
  <c r="G51" i="2"/>
  <c r="M28" i="5"/>
  <c r="O28" i="5" s="1"/>
  <c r="P28" i="5" s="1"/>
  <c r="O18" i="5"/>
  <c r="P18" i="5" s="1"/>
  <c r="I23" i="5"/>
  <c r="O10" i="5"/>
  <c r="P10" i="5" s="1"/>
  <c r="I12" i="5"/>
  <c r="H52" i="2"/>
  <c r="H53" i="2"/>
  <c r="F50" i="2"/>
  <c r="I50" i="2" l="1"/>
  <c r="G50" i="2"/>
  <c r="H50" i="2"/>
</calcChain>
</file>

<file path=xl/sharedStrings.xml><?xml version="1.0" encoding="utf-8"?>
<sst xmlns="http://schemas.openxmlformats.org/spreadsheetml/2006/main" count="6110" uniqueCount="2385">
  <si>
    <t>id</t>
  </si>
  <si>
    <t>Description</t>
  </si>
  <si>
    <t>Seller Message</t>
  </si>
  <si>
    <t>Created (UTC)</t>
  </si>
  <si>
    <t>Amount</t>
  </si>
  <si>
    <t>Amount Refunded</t>
  </si>
  <si>
    <t>Currency</t>
  </si>
  <si>
    <t>Converted Amount</t>
  </si>
  <si>
    <t>Converted Amount Refunded</t>
  </si>
  <si>
    <t>Fee</t>
  </si>
  <si>
    <t>Tax</t>
  </si>
  <si>
    <t>Converted Currency</t>
  </si>
  <si>
    <t>Status</t>
  </si>
  <si>
    <t>Statement Descriptor</t>
  </si>
  <si>
    <t>Customer ID</t>
  </si>
  <si>
    <t>Customer Description</t>
  </si>
  <si>
    <t>Customer Email</t>
  </si>
  <si>
    <t>Captured</t>
  </si>
  <si>
    <t>Card ID</t>
  </si>
  <si>
    <t>Invoice ID</t>
  </si>
  <si>
    <t>Transfer</t>
  </si>
  <si>
    <t>ch_3KeMPOKc9ZnUJQuy1hV4BEcm</t>
  </si>
  <si>
    <t>Payment complete.</t>
  </si>
  <si>
    <t>usd</t>
  </si>
  <si>
    <t>Paid</t>
  </si>
  <si>
    <t>cus_LL2VUsUq1tma8t</t>
  </si>
  <si>
    <t>gregahsue@gmail.com</t>
  </si>
  <si>
    <t>pm_1KeMQZKc9ZnUJQuyT4Jii4Qa</t>
  </si>
  <si>
    <t>ch_3KeKxOKc9ZnUJQuy0QAvDgNK</t>
  </si>
  <si>
    <t>cus_LL0zaZN2rZzUky</t>
  </si>
  <si>
    <t>canello.marco@gmail.com</t>
  </si>
  <si>
    <t>pm_1KeKxuKc9ZnUJQuyLhgo8LpR</t>
  </si>
  <si>
    <t>ch_3KeKsyKc9ZnUJQuy1KCAh4pM</t>
  </si>
  <si>
    <t>cus_LL0vZn0HIPOm7i</t>
  </si>
  <si>
    <t>egonzo777@yahoo.com</t>
  </si>
  <si>
    <t>pm_1KeKtcKc9ZnUJQuyWeZ1zaBX</t>
  </si>
  <si>
    <t>ch_3KeKljKc9ZnUJQuy1hFxMPQ9</t>
  </si>
  <si>
    <t>cus_LL0nBINx96KUFr</t>
  </si>
  <si>
    <t>kennypattersoniii@yahoo.com</t>
  </si>
  <si>
    <t>pm_1KeKm7Kc9ZnUJQuyrMQtAsoU</t>
  </si>
  <si>
    <t>ch_3KeKUOKc9ZnUJQuy057FI0Ie</t>
  </si>
  <si>
    <t>cus_LL0VyJZtERQz24</t>
  </si>
  <si>
    <t>bmb0499@gmail.com</t>
  </si>
  <si>
    <t>pm_1KeKUgKc9ZnUJQuyGmrHgdCp</t>
  </si>
  <si>
    <t>ch_3KeKGoKc9ZnUJQuy1PeHi44T</t>
  </si>
  <si>
    <t>cus_LL0I8xTm3PNvGb</t>
  </si>
  <si>
    <t>christian.estevez@dhl.com</t>
  </si>
  <si>
    <t>pm_1KeKHnKc9ZnUJQuyuq56kgLx</t>
  </si>
  <si>
    <t>ch_3KeKBrKc9ZnUJQuy0krr8s0T</t>
  </si>
  <si>
    <t>cus_LL0CKgHrKPrWqm</t>
  </si>
  <si>
    <t>andyraffel@gmail.com</t>
  </si>
  <si>
    <t>pm_1KeKCIKc9ZnUJQuybaei2D8k</t>
  </si>
  <si>
    <t>ch_3KeK5nKc9ZnUJQuy03MXVxKk</t>
  </si>
  <si>
    <t>cus_LL06b2ieFUFsCl</t>
  </si>
  <si>
    <t>dumpyguy@gmail.com</t>
  </si>
  <si>
    <t>pm_1KeK6BKc9ZnUJQuyoNcB7CRF</t>
  </si>
  <si>
    <t>ch_3KeJuPKc9ZnUJQuy06L9AH2z</t>
  </si>
  <si>
    <t>cus_LKzuyMTuFcNo3J</t>
  </si>
  <si>
    <t>mattlanglois1@gmail.com</t>
  </si>
  <si>
    <t>pm_1KeJuiKc9ZnUJQuyJEm2SzpF</t>
  </si>
  <si>
    <t>ch_3KeHRMKc9ZnUJQuy11WqBG5h</t>
  </si>
  <si>
    <t>cus_LKxM4njgKHzkQF</t>
  </si>
  <si>
    <t>rmiller8@eastern.edu</t>
  </si>
  <si>
    <t>pm_1KeHRZKc9ZnUJQuyhH3QfwTY</t>
  </si>
  <si>
    <t>ch_3KeG2sKc9ZnUJQuy1ehenVNh</t>
  </si>
  <si>
    <t>cus_LKvvtWI7CsowIm</t>
  </si>
  <si>
    <t>ron.papka@gmail.com</t>
  </si>
  <si>
    <t>pm_1KeG3dKc9ZnUJQuys7BVcinO</t>
  </si>
  <si>
    <t>ch_3KeD9lKc9ZnUJQuy1aJyMhgb</t>
  </si>
  <si>
    <t>cus_LKswKZybioZdtu</t>
  </si>
  <si>
    <t>robbato9@gmail.com</t>
  </si>
  <si>
    <t>pm_1KeDASKc9ZnUJQuy8ye3DFrN</t>
  </si>
  <si>
    <t>ch_3KeBGWKc9ZnUJQuy1BsUVXdy</t>
  </si>
  <si>
    <t>cus_LKr0fumFcheeaJ</t>
  </si>
  <si>
    <t>rcdiehl@me.com</t>
  </si>
  <si>
    <t>pm_1KeBIFKc9ZnUJQuyFRY93LgG</t>
  </si>
  <si>
    <t>ch_3KeABJKc9ZnUJQuy1LORyCPU</t>
  </si>
  <si>
    <t>cus_LKpsyppceeqYvt</t>
  </si>
  <si>
    <t>corykap@gmail.com</t>
  </si>
  <si>
    <t>pm_1KeACFKc9ZnUJQuyMxsZoDcC</t>
  </si>
  <si>
    <t>ch_3Ke9QyKc9ZnUJQuy0tMfwyVF</t>
  </si>
  <si>
    <t>cus_LKp5kzeKZq3l3U</t>
  </si>
  <si>
    <t>rbatkins@umich.edu</t>
  </si>
  <si>
    <t>pm_1Ke9REKc9ZnUJQuyomPjZsGG</t>
  </si>
  <si>
    <t>ch_3Ke9KkKc9ZnUJQuy1rZ06MgR</t>
  </si>
  <si>
    <t>cus_LKoz6QrhpnP5o6</t>
  </si>
  <si>
    <t>dnhanson@comcast.net</t>
  </si>
  <si>
    <t>pm_1Ke9LAKc9ZnUJQuy29vutErA</t>
  </si>
  <si>
    <t>ch_3Ke8wdKc9ZnUJQuy00mJLxp0</t>
  </si>
  <si>
    <t>cus_LKoa1ofAos9C3R</t>
  </si>
  <si>
    <t>feaglm22@gmail.com</t>
  </si>
  <si>
    <t>pm_1Ke8x9Kc9ZnUJQuyAyFPZ3t9</t>
  </si>
  <si>
    <t>ch_3Ke8ntKc9ZnUJQuy0GfjMWkE</t>
  </si>
  <si>
    <t>cus_LKoRa5Ov0JgLbh</t>
  </si>
  <si>
    <t>husk0013@gmail.com</t>
  </si>
  <si>
    <t>pm_1Ke8odKc9ZnUJQuyud8ohOGB</t>
  </si>
  <si>
    <t>ch_3Ke8mGKc9ZnUJQuy0Kl5DPFW</t>
  </si>
  <si>
    <t>cus_LKoQVmTyOMnpik</t>
  </si>
  <si>
    <t>schoop.ryan@gmail.com</t>
  </si>
  <si>
    <t>pm_1Ke8nEKc9ZnUJQuyJPZPELiW</t>
  </si>
  <si>
    <t>ch_3Ke8WzKc9ZnUJQuy04R6HbID</t>
  </si>
  <si>
    <t>cus_LKoDKjSnfcNJWp</t>
  </si>
  <si>
    <t>cmaksym@umich.edu</t>
  </si>
  <si>
    <t>pm_1Ke8b2Kc9ZnUJQuyKq1rakDU</t>
  </si>
  <si>
    <t>ch_3Ke8UBKc9ZnUJQuy0uUagHuX</t>
  </si>
  <si>
    <t>cus_LKo7BnCtM4a01f</t>
  </si>
  <si>
    <t>jonathan94002@gmail.com</t>
  </si>
  <si>
    <t>pm_1Ke8UzKc9ZnUJQuylkHMWkf5</t>
  </si>
  <si>
    <t>ch_3Ke8AVKc9ZnUJQuy0eMGLQ8V</t>
  </si>
  <si>
    <t>cus_LKnnHaSuBH3eRC</t>
  </si>
  <si>
    <t>jackson.brayman@gmail.com</t>
  </si>
  <si>
    <t>pm_1Ke8BkKc9ZnUJQuyg4O8zqSu</t>
  </si>
  <si>
    <t>ch_3Ke82EKc9ZnUJQuy1Xfc3VqD</t>
  </si>
  <si>
    <t>cus_LKner8EiaiWSkH</t>
  </si>
  <si>
    <t>rmeliticlash@gmail.com</t>
  </si>
  <si>
    <t>pm_1Ke836Kc9ZnUJQuyNU8h5WoF</t>
  </si>
  <si>
    <t>ch_3Ke7smKc9ZnUJQuy0FJazsd7</t>
  </si>
  <si>
    <t>cus_LKnUaZw3EueDXZ</t>
  </si>
  <si>
    <t>seman8@aol.com</t>
  </si>
  <si>
    <t>pm_1Ke7tIKc9ZnUJQuydjoi0Naf</t>
  </si>
  <si>
    <t>ch_3Ke7jrKc9ZnUJQuy1Qh3Tt3V</t>
  </si>
  <si>
    <t>cus_LKnLFJkWCV0AyA</t>
  </si>
  <si>
    <t>clemtyl@yahoo.com</t>
  </si>
  <si>
    <t>pm_1Ke7lBKc9ZnUJQuyGLhgKeh5</t>
  </si>
  <si>
    <t>ch_3Ke7CRKc9ZnUJQuy1sCm0ojx</t>
  </si>
  <si>
    <t>cus_LKmuYwPE81cAOW</t>
  </si>
  <si>
    <t>andypaulson1@gmail.com</t>
  </si>
  <si>
    <t>pm_1Ke7KQKc9ZnUJQuyPCAZ3V0E</t>
  </si>
  <si>
    <t>ch_3Ke6wIKc9ZnUJQuy0Xh0ZcP6</t>
  </si>
  <si>
    <t>cus_LKmXKmJWrCnCVZ</t>
  </si>
  <si>
    <t>scheinbob@gmail.com</t>
  </si>
  <si>
    <t>pm_1Ke6ySKc9ZnUJQuyGEn4TNyr</t>
  </si>
  <si>
    <t>ch_3Ke676Kc9ZnUJQuy1OYAbo40</t>
  </si>
  <si>
    <t>cus_LKlgHLOVREIFUU</t>
  </si>
  <si>
    <t>selctrojl@yahoo.com</t>
  </si>
  <si>
    <t>pm_1Ke69BKc9ZnUJQuybF8wq0oH</t>
  </si>
  <si>
    <t>ch_3Ke4SjKc9ZnUJQuy1EXn7l95</t>
  </si>
  <si>
    <t>cus_LKk2cd8tBOCOpj</t>
  </si>
  <si>
    <t>matthias.smith@hotmail.com</t>
  </si>
  <si>
    <t>pm_1Ke4YTKc9ZnUJQuyAQqHPJXz</t>
  </si>
  <si>
    <t>ch_3Ke2OGKc9ZnUJQuy0hbmXgGW</t>
  </si>
  <si>
    <t>cus_LKi7MNdGgJHCMe</t>
  </si>
  <si>
    <t>ewelch@germain.com</t>
  </si>
  <si>
    <t>pm_1Ke2hYKc9ZnUJQuy4XtpEtq2</t>
  </si>
  <si>
    <t>ch_3Ke2T7Kc9ZnUJQuy1jyWjaD6</t>
  </si>
  <si>
    <t>cus_LKhtIPZ8LxQYBP</t>
  </si>
  <si>
    <t>mwilman1119@gmail.com</t>
  </si>
  <si>
    <t>pm_1Ke2TOKc9ZnUJQuy9WQfvCM6</t>
  </si>
  <si>
    <t>ch_3Ke2H2Kc9ZnUJQuy0P56CqiT</t>
  </si>
  <si>
    <t>cus_LKhgNzDAZUn6i7</t>
  </si>
  <si>
    <t>kelly.tripp23@gmail.com</t>
  </si>
  <si>
    <t>pm_1Ke2HZKc9ZnUJQuyYGtv59G0</t>
  </si>
  <si>
    <t>ch_3Ke1cjKc9ZnUJQuy0gdaxK1c</t>
  </si>
  <si>
    <t>cus_LKh2nQ4EaoLzQN</t>
  </si>
  <si>
    <t>larryk1105@yahoo.com</t>
  </si>
  <si>
    <t>pm_1Ke1e4Kc9ZnUJQuyxSEM1ETb</t>
  </si>
  <si>
    <t>ch_3Ke15gKc9ZnUJQuy0mItaIQ5</t>
  </si>
  <si>
    <t>cus_LKgTxWmHgrDHZ1</t>
  </si>
  <si>
    <t>mikedlott@yahoo.com</t>
  </si>
  <si>
    <t>pm_1Ke16BKc9ZnUJQuyFbqChEgj</t>
  </si>
  <si>
    <t>ch_3KdzRmKc9ZnUJQuy0ZvYcFsW</t>
  </si>
  <si>
    <t>cus_LKemis5QJB8D2a</t>
  </si>
  <si>
    <t>dvdoyal02@yahoo.com</t>
  </si>
  <si>
    <t>pm_1KdzSxKc9ZnUJQuyoNee6O6A</t>
  </si>
  <si>
    <t>ch_3Kdz9xKc9ZnUJQuy1Zv9pwPE</t>
  </si>
  <si>
    <t>cus_LKeTn33lyMyNbA</t>
  </si>
  <si>
    <t>dallas_marley@yahoo.com</t>
  </si>
  <si>
    <t>pm_1KdzAHKc9ZnUJQuyh1Ofwwl4</t>
  </si>
  <si>
    <t>ch_3Kdz1WKc9ZnUJQuy1FIqs8ii</t>
  </si>
  <si>
    <t>cus_LKeKiWXv2aEOEp</t>
  </si>
  <si>
    <t>dacardino@gmail.com</t>
  </si>
  <si>
    <t>pm_1Kdz20Kc9ZnUJQuy6YoLsRa0</t>
  </si>
  <si>
    <t>ch_3KdwNcKc9ZnUJQuy1IxGzUjH</t>
  </si>
  <si>
    <t>cus_LKbbyrj1zEf1Zl</t>
  </si>
  <si>
    <t>bharwood2811@gmail.com</t>
  </si>
  <si>
    <t>pm_1KdwOPKc9ZnUJQuyHpbplnLv</t>
  </si>
  <si>
    <t>ch_3Kdw8QKc9ZnUJQuy1FylYh3m</t>
  </si>
  <si>
    <t>cus_LKbN6ltcfkCjac</t>
  </si>
  <si>
    <t>vanzinski2000@yahoo.com</t>
  </si>
  <si>
    <t>pm_1KdwAHKc9ZnUJQuyRg8hAQnW</t>
  </si>
  <si>
    <t>ch_3Kdnz5Kc9ZnUJQuy0oQg8o1Y</t>
  </si>
  <si>
    <t>cus_LKSyTERzGmYCeG</t>
  </si>
  <si>
    <t>ahphot.o.vi.d.e.o@gmail.com</t>
  </si>
  <si>
    <t>pm_1Kdo2mKc9ZnUJQuyO2b88dJ8</t>
  </si>
  <si>
    <t>ch_3KdmteKc9ZnUJQuy0WAOZTMv</t>
  </si>
  <si>
    <t>cus_LKRn5JtHOsraF2</t>
  </si>
  <si>
    <t>neal.p.anderson@gmail.com</t>
  </si>
  <si>
    <t>pm_1Kdmu7Kc9ZnUJQuy7n6e9l5q</t>
  </si>
  <si>
    <t>ch_3KdmnhKc9ZnUJQuy10HPv6M2</t>
  </si>
  <si>
    <t>cus_LKRh6UvnnANAvX</t>
  </si>
  <si>
    <t>panderson@andersoneconomicgroup.com</t>
  </si>
  <si>
    <t>pm_1KdmoAKc9ZnUJQuybxp4pdvF</t>
  </si>
  <si>
    <t>ch_3KdmYnKc9ZnUJQuy1Ulaxfth</t>
  </si>
  <si>
    <t>cus_LKRRJgtNitu6JH</t>
  </si>
  <si>
    <t>rick@langenek.com</t>
  </si>
  <si>
    <t>pm_1KdmZ1Kc9ZnUJQuyL9r5t95e</t>
  </si>
  <si>
    <t>ch_3KdmRRKc9ZnUJQuy166Eln2z</t>
  </si>
  <si>
    <t>cus_LKRKH0ns0OHDJW</t>
  </si>
  <si>
    <t>websterism@gmail.com</t>
  </si>
  <si>
    <t>pm_1KdmS4Kc9ZnUJQuyQAmcsZPr</t>
  </si>
  <si>
    <t>ch_3KdmFpKc9ZnUJQuy0n8IQLD8</t>
  </si>
  <si>
    <t>cus_LKR9v1Fycleqo4</t>
  </si>
  <si>
    <t>beierbw@aol.com</t>
  </si>
  <si>
    <t>pm_1KdmH1Kc9ZnUJQuyczVzbZ5E</t>
  </si>
  <si>
    <t>ch_3KdlF0Kc9ZnUJQuy0nAUSLAo</t>
  </si>
  <si>
    <t>cus_LKQ60yUD290PNu</t>
  </si>
  <si>
    <t>josephp333@gmail.com</t>
  </si>
  <si>
    <t>pm_1KdlFvKc9ZnUJQuyyG1SRJ9R</t>
  </si>
  <si>
    <t>ch_3KdfA0Kc9ZnUJQuy1C1DJgNN</t>
  </si>
  <si>
    <t>cus_LKJpIP5fzs6h6e</t>
  </si>
  <si>
    <t>tmiremont@bellsouth.net</t>
  </si>
  <si>
    <t>pm_1KdfBLKc9ZnUJQuybTBWl7o3</t>
  </si>
  <si>
    <t>ch_3KdedOKc9ZnUJQuy16CUYavw</t>
  </si>
  <si>
    <t>cus_LKJHsE3qJOvq83</t>
  </si>
  <si>
    <t>swatts@ehub.com</t>
  </si>
  <si>
    <t>pm_1KdegmKc9ZnUJQuywioPdfv4</t>
  </si>
  <si>
    <t>ch_3KdeJEKc9ZnUJQuy08HuWfVw</t>
  </si>
  <si>
    <t>cus_LKIvwSPBlKoXOk</t>
  </si>
  <si>
    <t>mdawoud2013@fau.edu</t>
  </si>
  <si>
    <t>pm_1KdeJVKc9ZnUJQuyepdnomxo</t>
  </si>
  <si>
    <t>ch_3KddozKc9ZnUJQuy1GxmA5qS</t>
  </si>
  <si>
    <t>cus_LKIQYUlvkP5lMv</t>
  </si>
  <si>
    <t>rtgordon22@hotmail.com</t>
  </si>
  <si>
    <t>pm_1KddpLKc9ZnUJQuyOc3Qoryb</t>
  </si>
  <si>
    <t>ch_3KdddaKc9ZnUJQuy1qLV3qg1</t>
  </si>
  <si>
    <t>cus_LKIHErXY2gX58v</t>
  </si>
  <si>
    <t>tropicshades@gmail.com</t>
  </si>
  <si>
    <t>pm_1KddgSKc9ZnUJQuyXl6mZNol</t>
  </si>
  <si>
    <t>ch_3KdcIAKc9ZnUJQuy1AZXjEj4</t>
  </si>
  <si>
    <t>cus_LKGr7tzaRff5MT</t>
  </si>
  <si>
    <t>mike@amgms.com</t>
  </si>
  <si>
    <t>pm_1KdcJQKc9ZnUJQuyagoApqz4</t>
  </si>
  <si>
    <t>ch_3Kdc7sKc9ZnUJQuy0nTu0UC0</t>
  </si>
  <si>
    <t>cus_LKGgFrt0svXIXP</t>
  </si>
  <si>
    <t>henry.s0563@gmail.com</t>
  </si>
  <si>
    <t>pm_1Kdc9BKc9ZnUJQuyna8bQDJY</t>
  </si>
  <si>
    <t>ch_3KdbYxKc9ZnUJQuy1QCn7b0k</t>
  </si>
  <si>
    <t>cus_LKG5dN0ZDTgzia</t>
  </si>
  <si>
    <t>gralbano@gmail.com</t>
  </si>
  <si>
    <t>pm_1KdbZHKc9ZnUJQuy8vZaUljq</t>
  </si>
  <si>
    <t>ch_3KdbK0Kc9ZnUJQuy1n4lv6tc</t>
  </si>
  <si>
    <t>cus_LKFrg1W9Panb7r</t>
  </si>
  <si>
    <t>sims74538@gmail.com</t>
  </si>
  <si>
    <t>pm_1KdbLNKc9ZnUJQuy62UHp6bs</t>
  </si>
  <si>
    <t>ch_3KdbFkKc9ZnUJQuy0MgR7etp</t>
  </si>
  <si>
    <t>cus_LKFlxxpSFIekiU</t>
  </si>
  <si>
    <t>tfinnan3@gmail.com</t>
  </si>
  <si>
    <t>pm_1KdbHpKc9ZnUJQuyO6SPU7ni</t>
  </si>
  <si>
    <t>ch_3KdbBHKc9ZnUJQuy0DhRm64S</t>
  </si>
  <si>
    <t>cus_LKFh9l1YMhiKwV</t>
  </si>
  <si>
    <t>bjbuckley@rogers.com</t>
  </si>
  <si>
    <t>pm_1KdbBpKc9ZnUJQuyJeQSpIwa</t>
  </si>
  <si>
    <t>ch_3KdalmKc9ZnUJQuy0000dAfR</t>
  </si>
  <si>
    <t>cus_LKFGFw8jylE5cR</t>
  </si>
  <si>
    <t>aliciabug5@msn.com</t>
  </si>
  <si>
    <t>pm_1Kdam0Kc9ZnUJQuygVV1utGt</t>
  </si>
  <si>
    <t>ch_3KdaCWKc9ZnUJQuy0wKNnaUQ</t>
  </si>
  <si>
    <t>cus_LKEg6xSfROQE7a</t>
  </si>
  <si>
    <t>dbrandon23666@yahoo.com</t>
  </si>
  <si>
    <t>pm_1KdaDMKc9ZnUJQuyJrr3jxxi</t>
  </si>
  <si>
    <t>ch_3KdVgNKc9ZnUJQuy1gSIaT7j</t>
  </si>
  <si>
    <t>cus_LKA0Z2IY1X2X2O</t>
  </si>
  <si>
    <t>lightningnissan@gmail.com</t>
  </si>
  <si>
    <t>pm_1KdVgYKc9ZnUJQuy3ytQ3WSl</t>
  </si>
  <si>
    <t>ch_3KdPgcKc9ZnUJQuy1mcHeRAp</t>
  </si>
  <si>
    <t>cus_LK3poeNN8KgqPX</t>
  </si>
  <si>
    <t>firemanfleming@yahoo.com</t>
  </si>
  <si>
    <t>pm_1KdPhkKc9ZnUJQuy1Xz8IouH</t>
  </si>
  <si>
    <t>ch_3KdPdiKc9ZnUJQuy0V24NHOj</t>
  </si>
  <si>
    <t>cus_LK3lMZmzh3QOhZ</t>
  </si>
  <si>
    <t>jsharpe9606@gmail.com</t>
  </si>
  <si>
    <t>pm_1KdPdwKc9ZnUJQuyldmcIvIj</t>
  </si>
  <si>
    <t>ch_3KdPZZKc9ZnUJQuy0UambkKt</t>
  </si>
  <si>
    <t>cus_LK3hAsvCdlrpbZ</t>
  </si>
  <si>
    <t>rvette70@aol.com</t>
  </si>
  <si>
    <t>pm_1KdPaEKc9ZnUJQuyW4UY8EdK</t>
  </si>
  <si>
    <t>ch_3KdPVXKc9ZnUJQuy1KGquWFx</t>
  </si>
  <si>
    <t>cus_LK3dXU90cAehre</t>
  </si>
  <si>
    <t>tomselden@protonmail.com</t>
  </si>
  <si>
    <t>pm_1KdPWHKc9ZnUJQuyA2EH0Vay</t>
  </si>
  <si>
    <t>ch_3KdOibKc9ZnUJQuy06bSthfE</t>
  </si>
  <si>
    <t>cus_LK2o5z6yf4vq5a</t>
  </si>
  <si>
    <t>luke-bro22@hotmail.com</t>
  </si>
  <si>
    <t>pm_1KdOjFKc9ZnUJQuyRsvi7ttn</t>
  </si>
  <si>
    <t>ch_3KdOd2Kc9ZnUJQuy0RLolhYB</t>
  </si>
  <si>
    <t>cus_LK2jwHiLwCvwWU</t>
  </si>
  <si>
    <t>wcmjr@comcast.net</t>
  </si>
  <si>
    <t>pm_1KdOddKc9ZnUJQuy1zqJDOUN</t>
  </si>
  <si>
    <t>ch_3KdOFsKc9ZnUJQuy0HQ8BMaH</t>
  </si>
  <si>
    <t>cus_LK2L6jt5IistxD</t>
  </si>
  <si>
    <t>ricoswab@gmail.com</t>
  </si>
  <si>
    <t>pm_1KdOGfKc9ZnUJQuy8C5d0WuV</t>
  </si>
  <si>
    <t>ch_3KdNmZKc9ZnUJQuy1K0OKg8L</t>
  </si>
  <si>
    <t>cus_LK1sqM7oGc5lym</t>
  </si>
  <si>
    <t>derouenjamie@yahoo.com</t>
  </si>
  <si>
    <t>pm_1KdNoLKc9ZnUJQuykOQ1RGou</t>
  </si>
  <si>
    <t>ch_3KdNgHKc9ZnUJQuy1ZQ6kr3L</t>
  </si>
  <si>
    <t>cus_LK1lzTGqHuwwHD</t>
  </si>
  <si>
    <t>johndowney31@gmail.com</t>
  </si>
  <si>
    <t>pm_1KdNhqKc9ZnUJQuyIkZy8RNi</t>
  </si>
  <si>
    <t>ch_3KdNbiKc9ZnUJQuy0VhsfSxp</t>
  </si>
  <si>
    <t>cus_LK1f4pObeJw9Vv</t>
  </si>
  <si>
    <t>arthuryon.1@gmail.com</t>
  </si>
  <si>
    <t>pm_1KdNc6Kc9ZnUJQuyct1fF0ih</t>
  </si>
  <si>
    <t>ch_3KdNYNKc9ZnUJQuy0QCj7p4Y</t>
  </si>
  <si>
    <t>cus_LK1c6xmfP3hnZZ</t>
  </si>
  <si>
    <t>kjstolen@yahoo.com</t>
  </si>
  <si>
    <t>pm_1KdNZOKc9ZnUJQuyMsvum4mC</t>
  </si>
  <si>
    <t>ch_3KdMG9Kc9ZnUJQuy12VItuaE</t>
  </si>
  <si>
    <t>cus_LK0H0FGRZgb2LT</t>
  </si>
  <si>
    <t>jwoodson86@gmail.com</t>
  </si>
  <si>
    <t>pm_1KdMH4Kc9ZnUJQuyU6WSDADg</t>
  </si>
  <si>
    <t>ch_3KdLRHKc9ZnUJQuy0AgJCPs4</t>
  </si>
  <si>
    <t>cus_LJzToOoQ41uk5H</t>
  </si>
  <si>
    <t>jack715@sbcglobal.net</t>
  </si>
  <si>
    <t>pm_1KdLURKc9ZnUJQuyXvemObNw</t>
  </si>
  <si>
    <t>ch_3KdLOfKc9ZnUJQuy1qDeu9qs</t>
  </si>
  <si>
    <t>cus_LJzOB12m3ZssH3</t>
  </si>
  <si>
    <t>cathi.friend@att.net</t>
  </si>
  <si>
    <t>pm_1KdLPhKc9ZnUJQuyA0yJlUF9</t>
  </si>
  <si>
    <t>ch_3KdKiVKc9ZnUJQuy1PdarUyp</t>
  </si>
  <si>
    <t>cus_LJyhzaKPdUHSvR</t>
  </si>
  <si>
    <t>rwlustig@gmail.com</t>
  </si>
  <si>
    <t>pm_1KdKjiKc9ZnUJQuyP1amkmXD</t>
  </si>
  <si>
    <t>ch_3KdKeGKc9ZnUJQuy1fEQLMtn</t>
  </si>
  <si>
    <t>cus_LJycF3QosiI1S0</t>
  </si>
  <si>
    <t>nick_mck@msn.com</t>
  </si>
  <si>
    <t>pm_1KdKeuKc9ZnUJQuykAhhEkJp</t>
  </si>
  <si>
    <t>ch_3KdKZhKc9ZnUJQuy0tofWpaH</t>
  </si>
  <si>
    <t>cus_LJyXS7woApXMvo</t>
  </si>
  <si>
    <t>jcascio@bellsouth.net</t>
  </si>
  <si>
    <t>pm_1KdKaUKc9ZnUJQuy1pYQ4CRG</t>
  </si>
  <si>
    <t>ch_3KdKDqKc9ZnUJQuy1DX9AlF7</t>
  </si>
  <si>
    <t>cus_LJyE5eanjo19Mq</t>
  </si>
  <si>
    <t>jamesbo@ameritech.net</t>
  </si>
  <si>
    <t>pm_1KdKIUKc9ZnUJQuyFldlURyh</t>
  </si>
  <si>
    <t>ch_3KdK3MKc9ZnUJQuy0CHJmcb6</t>
  </si>
  <si>
    <t>cus_LJy1fiKmu7Vlpa</t>
  </si>
  <si>
    <t>arobe35999@gmail.com</t>
  </si>
  <si>
    <t>pm_1KdK56Kc9ZnUJQuychKu2Nyn</t>
  </si>
  <si>
    <t>ch_3KdIv8Kc9ZnUJQuy106TNBWM</t>
  </si>
  <si>
    <t>cus_LJwqmZrbx0ZOxz</t>
  </si>
  <si>
    <t>jhawker44@msn.com</t>
  </si>
  <si>
    <t>pm_1KdIwzKc9ZnUJQuySyA8AUNl</t>
  </si>
  <si>
    <t>ch_3KdIQFKc9ZnUJQuy0a6QvB0e</t>
  </si>
  <si>
    <t>cus_LJwKvO6886HIYH</t>
  </si>
  <si>
    <t>bpenn@rwbaird.com</t>
  </si>
  <si>
    <t>pm_1KdIS4Kc9ZnUJQuyjPeasgia</t>
  </si>
  <si>
    <t>ch_3KdHrAKc9ZnUJQuy1q4MHr8u</t>
  </si>
  <si>
    <t>cus_LJvlowIuOG5J7T</t>
  </si>
  <si>
    <t>jps243448@gmail.com</t>
  </si>
  <si>
    <t>pm_1KdHtmKc9ZnUJQuyG9XL6W3W</t>
  </si>
  <si>
    <t>ch_3KdGYMKc9ZnUJQuy0Gn1glUU</t>
  </si>
  <si>
    <t>cus_LJuNL6b8LfNqdR</t>
  </si>
  <si>
    <t>grantweingarten@gmail.com</t>
  </si>
  <si>
    <t>pm_1KdGYVKc9ZnUJQuyRICN2zS0</t>
  </si>
  <si>
    <t>ch_3KdGRVKc9ZnUJQuy0JsOw3v9</t>
  </si>
  <si>
    <t>cus_LJuHTU8C7yCKxP</t>
  </si>
  <si>
    <t>hector.d.herrera6@gmail.com</t>
  </si>
  <si>
    <t>pm_1KdGT5Kc9ZnUJQuyWmIcjOox</t>
  </si>
  <si>
    <t>ch_3KdFzyKc9ZnUJQuy1DAADSL7</t>
  </si>
  <si>
    <t>cus_LJtoN1T4GXq3S6</t>
  </si>
  <si>
    <t>eboyd6@gmail.com</t>
  </si>
  <si>
    <t>pm_1KdG0wKc9ZnUJQuy5cYImjLD</t>
  </si>
  <si>
    <t>ch_3KdFq9Kc9ZnUJQuy1NcNeCnW</t>
  </si>
  <si>
    <t>cus_LJtelUY21l7vTh</t>
  </si>
  <si>
    <t>michael.follaco@gmail.com</t>
  </si>
  <si>
    <t>pm_1KdFqhKc9ZnUJQuyz6vCP4IY</t>
  </si>
  <si>
    <t>ch_3KdFmRKc9ZnUJQuy0kp5YCYh</t>
  </si>
  <si>
    <t>cus_LJtaIcHKis7t79</t>
  </si>
  <si>
    <t>joshlovell@charter.net</t>
  </si>
  <si>
    <t>pm_1KdFniKc9ZnUJQuyPJjIhaTR</t>
  </si>
  <si>
    <t>ch_3KdErBKc9ZnUJQuy1cK6YeQt</t>
  </si>
  <si>
    <t>cus_LJsc6uIm4DPjwg</t>
  </si>
  <si>
    <t>markermac2@gmail.com</t>
  </si>
  <si>
    <t>pm_1KdEraKc9ZnUJQuyefasUIlG</t>
  </si>
  <si>
    <t>ch_3KdEiCKc9ZnUJQuy04CtTz4I</t>
  </si>
  <si>
    <t>cus_LJsTExh8ebjS3d</t>
  </si>
  <si>
    <t>joshua@cloudinsyte.com</t>
  </si>
  <si>
    <t>pm_1KdEikKc9ZnUJQuyGj9wbQmI</t>
  </si>
  <si>
    <t>ch_3Kd4RNKc9ZnUJQuy1d9cCFsh</t>
  </si>
  <si>
    <t>cus_LJhu6LJs3iwOih</t>
  </si>
  <si>
    <t>edfinn10@yahoo.com</t>
  </si>
  <si>
    <t>pm_1Kd4UFKc9ZnUJQuyFTNQVOEr</t>
  </si>
  <si>
    <t>ch_3Kd1JKKc9ZnUJQuy1TQz6FHw</t>
  </si>
  <si>
    <t>cus_LJedOPk512xDDn</t>
  </si>
  <si>
    <t>jaimes.dickerson@gmail.com</t>
  </si>
  <si>
    <t>pm_1Kd3wtKc9ZnUJQuy2KQdgq0l</t>
  </si>
  <si>
    <t>ch_3Kd3q5Kc9ZnUJQuy0EcHInfp</t>
  </si>
  <si>
    <t>cus_LJhFiGYZnU9zfG</t>
  </si>
  <si>
    <t>elizabethrshupe@gmail.com</t>
  </si>
  <si>
    <t>pm_1Kd3qgKc9ZnUJQuyatGcPr6B</t>
  </si>
  <si>
    <t>ch_3Kd3IgKc9ZnUJQuy0cxTgm1x</t>
  </si>
  <si>
    <t>cus_LJghYKlP3ab7pX</t>
  </si>
  <si>
    <t>h-d@embarqmail.com</t>
  </si>
  <si>
    <t>pm_1Kd3JeKc9ZnUJQuyy7ufbN6K</t>
  </si>
  <si>
    <t>ch_3KcyCNKc9ZnUJQuy0gqCY2Kd</t>
  </si>
  <si>
    <t>cus_LJbP5gyLdr9cvZ</t>
  </si>
  <si>
    <t>jimmy.dempse@gmail.com</t>
  </si>
  <si>
    <t>pm_1KcyCqKc9ZnUJQuytFngLa2g</t>
  </si>
  <si>
    <t>ch_3Kcy47Kc9ZnUJQuy1hQb2A63</t>
  </si>
  <si>
    <t>cus_LJbIMfFv63kndk</t>
  </si>
  <si>
    <t>edfun1961@hotmail.com</t>
  </si>
  <si>
    <t>pm_1Kcy5eKc9ZnUJQuyQ69uAbey</t>
  </si>
  <si>
    <t>ch_3KcfaoKc9ZnUJQuy1MHMTbax</t>
  </si>
  <si>
    <t>cus_LJIBcmkYJyzRhF</t>
  </si>
  <si>
    <t>mike.althouse@gmail.com</t>
  </si>
  <si>
    <t>pm_1KcfbEKc9ZnUJQuyNZcbXOpZ</t>
  </si>
  <si>
    <t>ch_3KcDjuKc9ZnUJQuy0bETM6l6</t>
  </si>
  <si>
    <t>cus_LIpPB78kNQ02pe</t>
  </si>
  <si>
    <t>mario.a.ramos@hotmail.com</t>
  </si>
  <si>
    <t>pm_1KcDkDKc9ZnUJQuyjG7JIrBx</t>
  </si>
  <si>
    <t>ch_3Kb4MGKc9ZnUJQuy0S3W7i83</t>
  </si>
  <si>
    <t>cus_LHdd8nuTz43bnT</t>
  </si>
  <si>
    <t>jwmcnear@gmail.com</t>
  </si>
  <si>
    <t>pm_1Kb4MeKc9ZnUJQuy0326zWH0</t>
  </si>
  <si>
    <t>ch_3KajVrKc9ZnUJQuy1NBEZ45v</t>
  </si>
  <si>
    <t>cus_LHI7LugTzrNdiC</t>
  </si>
  <si>
    <t>jshupe@supportedintelligence.com</t>
  </si>
  <si>
    <t>pm_1KajXBKc9ZnUJQuyLQRUdurI</t>
  </si>
  <si>
    <t>Coupon</t>
  </si>
  <si>
    <t>PIDAY</t>
  </si>
  <si>
    <t>ROTOWIRE</t>
  </si>
  <si>
    <t>WELCOMEBACK</t>
  </si>
  <si>
    <t>Grand Total</t>
  </si>
  <si>
    <t>Total Amount</t>
  </si>
  <si>
    <t>Coupon Used</t>
  </si>
  <si>
    <t>Transaction Count</t>
  </si>
  <si>
    <t>No Coupon</t>
  </si>
  <si>
    <t>po_1IasRZKc9ZnUJQuyxZj8bImo</t>
  </si>
  <si>
    <t>src_1IUkkOKc9ZnUJQuyPy7r3Thj</t>
  </si>
  <si>
    <t>ltonsoni@comcast.net</t>
  </si>
  <si>
    <t>cus_J6yhYECxb3A6za</t>
  </si>
  <si>
    <t>ch_1IUkkPKc9ZnUJQuye4FQOBKD</t>
  </si>
  <si>
    <t>src_1IUzMHKc9ZnUJQuyvxYI1wfG</t>
  </si>
  <si>
    <t>cus_J7DnoCVjmf7ss4</t>
  </si>
  <si>
    <t>ch_1IUzMIKc9ZnUJQuy09D44feh</t>
  </si>
  <si>
    <t>src_1IV3pmKc9ZnUJQuygicPj6OZ</t>
  </si>
  <si>
    <t>cus_J7IQhEHzW55ws3</t>
  </si>
  <si>
    <t>ch_1IV3poKc9ZnUJQuyQKsKbQ0C</t>
  </si>
  <si>
    <t>src_1IVFFcKc9ZnUJQuyrQKqCxqN</t>
  </si>
  <si>
    <t>cpav21@gmail.com</t>
  </si>
  <si>
    <t>cus_J7UE8omciM3HW1</t>
  </si>
  <si>
    <t>ch_1IVFFdKc9ZnUJQuy4QrWEAEU</t>
  </si>
  <si>
    <t>src_1IVKo7Kc9ZnUJQuyDkGupTap</t>
  </si>
  <si>
    <t>pmetzger9695@gmail.com</t>
  </si>
  <si>
    <t>cus_J7Zy0rvhKdagoB</t>
  </si>
  <si>
    <t>ch_1IVKo9Kc9ZnUJQuyV7WsUV0I</t>
  </si>
  <si>
    <t>src_1IVKtNKc9ZnUJQuyFj8Gz3zD</t>
  </si>
  <si>
    <t>cus_J7a3VWFR6EQrdv</t>
  </si>
  <si>
    <t>ch_1IVKtPKc9ZnUJQuyq9keYcYP</t>
  </si>
  <si>
    <t>src_1IVN49Kc9ZnUJQuyw7VzUTpz</t>
  </si>
  <si>
    <t>donutjr2013@hotmail.com</t>
  </si>
  <si>
    <t>cus_J7cIs1EUWvMqNV</t>
  </si>
  <si>
    <t>ch_1IVN4BKc9ZnUJQuyu14mHNEh</t>
  </si>
  <si>
    <t>src_1IVO15Kc9ZnUJQuyG44bVYOB</t>
  </si>
  <si>
    <t>john.shupe@mdcpfund.com</t>
  </si>
  <si>
    <t>cus_J7dHi0QarWWtpm</t>
  </si>
  <si>
    <t>ch_1IVO17Kc9ZnUJQuy4UNrATjA</t>
  </si>
  <si>
    <t>src_1IVPS9Kc9ZnUJQuyjOxiLWfp</t>
  </si>
  <si>
    <t>grizzram@aol.com</t>
  </si>
  <si>
    <t>cus_J7elrYPwCD7ieD</t>
  </si>
  <si>
    <t>ch_1IVPSAKc9ZnUJQuy5LkyYZgT</t>
  </si>
  <si>
    <t>src_1IVPm2Kc9ZnUJQuyDhH74VB4</t>
  </si>
  <si>
    <t>ferro3000@gmail.com</t>
  </si>
  <si>
    <t>cus_J7f6sHR2gZe042</t>
  </si>
  <si>
    <t>ch_1IVPm3Kc9ZnUJQuy1LPsABye</t>
  </si>
  <si>
    <t>src_1IVQ6fKc9ZnUJQuyEi5WcU6O</t>
  </si>
  <si>
    <t>cus_J7fRbIa2aawmfp</t>
  </si>
  <si>
    <t>ch_1IVQ6gKc9ZnUJQuyZgu8T2s5</t>
  </si>
  <si>
    <t>src_1IVQkAKc9ZnUJQuyIgWCeOI2</t>
  </si>
  <si>
    <t>cus_J7g6ibgmU91ovN</t>
  </si>
  <si>
    <t>ch_1IVQkBKc9ZnUJQuy5mUylTns</t>
  </si>
  <si>
    <t>src_1IVR4fKc9ZnUJQuyL3XcnmdM</t>
  </si>
  <si>
    <t>cus_J7gRmJpAm0nTIt</t>
  </si>
  <si>
    <t>ch_1IVR4gKc9ZnUJQuysFpc0qwD</t>
  </si>
  <si>
    <t>src_1IVRXDKc9ZnUJQuykdOhiDdq</t>
  </si>
  <si>
    <t>cus_J7gvzLJlvrIpe7</t>
  </si>
  <si>
    <t>ch_1IVRXEKc9ZnUJQuyD7LXADvI</t>
  </si>
  <si>
    <t>src_1IVS9uKc9ZnUJQuyjL44JEim</t>
  </si>
  <si>
    <t>murphy.dan22@yahoo.com</t>
  </si>
  <si>
    <t>cus_J7hZxecGMm2ung</t>
  </si>
  <si>
    <t>ch_1IVS9wKc9ZnUJQuylmFi9XyH</t>
  </si>
  <si>
    <t>src_1IVTKGKc9ZnUJQuyw0Ckk1tf</t>
  </si>
  <si>
    <t>clemsonarthur@yahoo.com</t>
  </si>
  <si>
    <t>cus_J7ilhTqw0tuRdU</t>
  </si>
  <si>
    <t>ch_1IVTKHKc9ZnUJQuyEbXEhaZP</t>
  </si>
  <si>
    <t>src_1IVTwLKc9ZnUJQuyxcJeqNn8</t>
  </si>
  <si>
    <t>cus_J7jPIRYfTz2roJ</t>
  </si>
  <si>
    <t>ch_1IVTwMKc9ZnUJQuyC4TlOnQU</t>
  </si>
  <si>
    <t>src_1IVVcBKc9ZnUJQuyRusq14fd</t>
  </si>
  <si>
    <t>ejbrever@gmail.com</t>
  </si>
  <si>
    <t>cus_J7l8Mn7xwa54nG</t>
  </si>
  <si>
    <t>ch_1IVVcCKc9ZnUJQuy9q1w30IN</t>
  </si>
  <si>
    <t>src_1IVdwFKc9ZnUJQuyvsPxLpmv</t>
  </si>
  <si>
    <t>orrtc1@gmail.com</t>
  </si>
  <si>
    <t>cus_J7tjqw9KSpMgAM</t>
  </si>
  <si>
    <t>ch_1IVdwHKc9ZnUJQuymfyKdmy1</t>
  </si>
  <si>
    <t>src_1IVeA1Kc9ZnUJQuyqk57es69</t>
  </si>
  <si>
    <t>jkraftchick@gmail.com</t>
  </si>
  <si>
    <t>cus_J7txNFb2W5pgdw</t>
  </si>
  <si>
    <t>ch_1IVeA2Kc9ZnUJQuy4IFH407H</t>
  </si>
  <si>
    <t>src_1IVeH4Kc9ZnUJQuyhaEv305M</t>
  </si>
  <si>
    <t>im.johnmitchell@gmail.com</t>
  </si>
  <si>
    <t>cus_J7u573WhJ5dUyH</t>
  </si>
  <si>
    <t>ch_1IVeH5Kc9ZnUJQuy94SpdnOt</t>
  </si>
  <si>
    <t>src_1IVgUbKc9ZnUJQuynpKtEuRn</t>
  </si>
  <si>
    <t>jbishopp@gmail.com</t>
  </si>
  <si>
    <t>cus_J7wNR8duRbYVDA</t>
  </si>
  <si>
    <t>ch_1IVgUcKc9ZnUJQuySnrXiXz5</t>
  </si>
  <si>
    <t>src_1IVghQKc9ZnUJQuyGNqimvJ0</t>
  </si>
  <si>
    <t>cus_J7waJmuYqit3dx</t>
  </si>
  <si>
    <t>ch_1IVghSKc9ZnUJQuyuZuYKlvt</t>
  </si>
  <si>
    <t>src_1IVh3PKc9ZnUJQuycjIptn5X</t>
  </si>
  <si>
    <t>matthew.irey@usa.net</t>
  </si>
  <si>
    <t>cus_J7wxUB3nXKDHQw</t>
  </si>
  <si>
    <t>ch_1IVh3RKc9ZnUJQuyF8MM6dtH</t>
  </si>
  <si>
    <t>src_1IViRBKc9ZnUJQuytEtA2Ngi</t>
  </si>
  <si>
    <t>cus_J7yNYZCivXjIXU</t>
  </si>
  <si>
    <t>ch_1IViRDKc9ZnUJQuybnwsfoDv</t>
  </si>
  <si>
    <t>src_1IVjnXKc9ZnUJQuy7w4gtKum</t>
  </si>
  <si>
    <t>cus_J7znBw8sKImlRE</t>
  </si>
  <si>
    <t>ch_1IVjnZKc9ZnUJQuySmMYEbWM</t>
  </si>
  <si>
    <t>src_1IVkxqKc9ZnUJQuyF0J0bRvI</t>
  </si>
  <si>
    <t>cus_J80ztmzh9hj1Rj</t>
  </si>
  <si>
    <t>ch_1IVkxrKc9ZnUJQuyim6inCng</t>
  </si>
  <si>
    <t>src_1IVny1Kc9ZnUJQuyS4CzlPRt</t>
  </si>
  <si>
    <t>cus_J846OYY0lwhTDc</t>
  </si>
  <si>
    <t>ch_1IVny2Kc9ZnUJQuyiTTeEOwW</t>
  </si>
  <si>
    <t>src_1IVpFxKc9ZnUJQuy1BWJkQWZ</t>
  </si>
  <si>
    <t>cmwheatley@gmail.com</t>
  </si>
  <si>
    <t>cus_J85QQ3HwcNqXm0</t>
  </si>
  <si>
    <t>ch_1IVpFyKc9ZnUJQuy5sKs4D3u</t>
  </si>
  <si>
    <t>src_1IW1PgKc9ZnUJQuyZY9L7wQ1</t>
  </si>
  <si>
    <t>cus_J8HzA81yDap1iB</t>
  </si>
  <si>
    <t>ch_1IW1PiKc9ZnUJQuy4GkGKtC9</t>
  </si>
  <si>
    <t>src_1IW2diKc9ZnUJQuy8gvxICWW</t>
  </si>
  <si>
    <t>cus_J8JGI19tKaMxro</t>
  </si>
  <si>
    <t>ch_1IW2dkKc9ZnUJQuyFAADNL2k</t>
  </si>
  <si>
    <t>src_1IW5QMKc9ZnUJQuy9QgI3eHk</t>
  </si>
  <si>
    <t>megginson3@msn.com</t>
  </si>
  <si>
    <t>cus_J8M8rbZKwWCS7H</t>
  </si>
  <si>
    <t>ch_1IW5QNKc9ZnUJQuy4OST56Z6</t>
  </si>
  <si>
    <t>src_1IW64tKc9ZnUJQuyTd6s6MzU</t>
  </si>
  <si>
    <t>timmybrod@verizon.net</t>
  </si>
  <si>
    <t>cus_J8Mo1aqZmsy0hp</t>
  </si>
  <si>
    <t>ch_1IW64uKc9ZnUJQuy0H6NXM4Z</t>
  </si>
  <si>
    <t>src_1IW8RFKc9ZnUJQuyAezmp3Z8</t>
  </si>
  <si>
    <t>irwin.kwan@gmail.com</t>
  </si>
  <si>
    <t>cus_J8PF1OsGuhH2E5</t>
  </si>
  <si>
    <t>ch_1IW8RHKc9ZnUJQuyiXbqvUNk</t>
  </si>
  <si>
    <t>src_1IWBA5Kc9ZnUJQuyPGrPuLwU</t>
  </si>
  <si>
    <t>redneala@gmail.com</t>
  </si>
  <si>
    <t>cus_J8S4PZaJX3vCFp</t>
  </si>
  <si>
    <t>ch_1IWBA6Kc9ZnUJQuycKULPHXk</t>
  </si>
  <si>
    <t>src_1IWBMPKc9ZnUJQuyALxtUVuG</t>
  </si>
  <si>
    <t>mfrey528@gmail.com</t>
  </si>
  <si>
    <t>cus_J8SGsXTruXMtui</t>
  </si>
  <si>
    <t>ch_1IWBMQKc9ZnUJQuy1o6vkptZ</t>
  </si>
  <si>
    <t>src_1IWBSdKc9ZnUJQuy80VGuOqX</t>
  </si>
  <si>
    <t>curry.shopping@gmail.com</t>
  </si>
  <si>
    <t>cus_J8SNCB1mMiamIw</t>
  </si>
  <si>
    <t>ch_1IWBSeKc9ZnUJQuyU8nvy81W</t>
  </si>
  <si>
    <t>src_1IWBnVKc9ZnUJQuyouTQy6Ow</t>
  </si>
  <si>
    <t>hbkid2000@verizon.net</t>
  </si>
  <si>
    <t>cus_J8SinykW1cmkKk</t>
  </si>
  <si>
    <t>ch_1IWBnWKc9ZnUJQuy0dzsdvNV</t>
  </si>
  <si>
    <t>src_1IWCKTKc9ZnUJQuygXb6n28G</t>
  </si>
  <si>
    <t>r_kipp@hotmail.com</t>
  </si>
  <si>
    <t>cus_J8THYLlWNKRK1u</t>
  </si>
  <si>
    <t>ch_1IWCKUKc9ZnUJQuyY2wENVtA</t>
  </si>
  <si>
    <t>src_1IWD8MKc9ZnUJQuysYLrop3I</t>
  </si>
  <si>
    <t>ledford846@gmail.com</t>
  </si>
  <si>
    <t>cus_J8U69NDWNtnxQ2</t>
  </si>
  <si>
    <t>ch_1IWD8NKc9ZnUJQuyEPY3fk3D</t>
  </si>
  <si>
    <t>src_1IWEvmKc9ZnUJQuyrH4qzfiz</t>
  </si>
  <si>
    <t>saballew3@yahoo.com</t>
  </si>
  <si>
    <t>cus_J8Vx1GUUIzIiyH</t>
  </si>
  <si>
    <t>ch_1IWEvnKc9ZnUJQuyviMJv1HT</t>
  </si>
  <si>
    <t>src_1IWJCjKc9ZnUJQuyqlilTEmQ</t>
  </si>
  <si>
    <t>cus_J8aNcP0XexxQAp</t>
  </si>
  <si>
    <t>ch_1IWJCkKc9ZnUJQuyjmkv15xj</t>
  </si>
  <si>
    <t>src_1IWK4rKc9ZnUJQuy9vBG3hBY</t>
  </si>
  <si>
    <t>dustinhutton@gmail.com</t>
  </si>
  <si>
    <t>cus_J8bHKA58gXG1m3</t>
  </si>
  <si>
    <t>ch_1IWK4tKc9ZnUJQuyxRnU8acB</t>
  </si>
  <si>
    <t>src_1IWLbVKc9ZnUJQuyAdwCt3PM</t>
  </si>
  <si>
    <t>signor.evan@gmail.com</t>
  </si>
  <si>
    <t>cus_J8crgDXUSenTF5</t>
  </si>
  <si>
    <t>ch_1IWLbWKc9ZnUJQuy65c8MT7N</t>
  </si>
  <si>
    <t>src_1IWLiuKc9ZnUJQuyZ3JQG4gO</t>
  </si>
  <si>
    <t>robbie.estes@gmail.com</t>
  </si>
  <si>
    <t>cus_J8cyj0WC77duEi</t>
  </si>
  <si>
    <t>ch_1IWLivKc9ZnUJQuyhqKgydl2</t>
  </si>
  <si>
    <t>src_1IWMBVKc9ZnUJQuyHFcYcPKP</t>
  </si>
  <si>
    <t>fox1ae@gmail.com</t>
  </si>
  <si>
    <t>cus_J8dSYa7CLAIMim</t>
  </si>
  <si>
    <t>ch_1IWMBWKc9ZnUJQuywft2fjPn</t>
  </si>
  <si>
    <t>src_1IWMQeKc9ZnUJQuyC8UIriEl</t>
  </si>
  <si>
    <t>rba11@albion.edu</t>
  </si>
  <si>
    <t>cus_J8dic1YAe3RuDl</t>
  </si>
  <si>
    <t>ch_1IWMQfKc9ZnUJQuyrw8xlave</t>
  </si>
  <si>
    <t>src_1IWNicKc9ZnUJQuyAfbWVHyG</t>
  </si>
  <si>
    <t>jk0315@aol.com</t>
  </si>
  <si>
    <t>cus_J8f2tS14G7yizW</t>
  </si>
  <si>
    <t>ch_1IWNidKc9ZnUJQuy0H0RqIwB</t>
  </si>
  <si>
    <t>src_1IWOQ8Kc9ZnUJQuy09yRfz3J</t>
  </si>
  <si>
    <t>keenanbruni@gmail.com</t>
  </si>
  <si>
    <t>cus_J8fliJBNSP6zWT</t>
  </si>
  <si>
    <t>ch_1IWOQ9Kc9ZnUJQuyx67bNaRi</t>
  </si>
  <si>
    <t>src_1IWQuZKc9ZnUJQuyzLxF8V8Q</t>
  </si>
  <si>
    <t>andrew.bellenger1@gmail.com</t>
  </si>
  <si>
    <t>cus_J8iLV1hklEkPRW</t>
  </si>
  <si>
    <t>ch_1IWQuaKc9ZnUJQuyRrgOlU8Z</t>
  </si>
  <si>
    <t>src_1IWRWXKc9ZnUJQuyJxDNgAKz</t>
  </si>
  <si>
    <t>abl5037@gmail.com</t>
  </si>
  <si>
    <t>cus_J8iyBK9gBBg2do</t>
  </si>
  <si>
    <t>ch_1IWRWYKc9ZnUJQuyVAzA3oF1</t>
  </si>
  <si>
    <t>src_1IWYNbKc9ZnUJQuygjhDgfex</t>
  </si>
  <si>
    <t>mdelaet33@gmail.com</t>
  </si>
  <si>
    <t>cus_J8q30wPPRmGgYh</t>
  </si>
  <si>
    <t>ch_1IWYNcKc9ZnUJQuyl5kSQRgV</t>
  </si>
  <si>
    <t>src_1IWc3BKc9ZnUJQuyOnad4AER</t>
  </si>
  <si>
    <t>cdiaz255@gmail.com</t>
  </si>
  <si>
    <t>cus_J8tqz22hcTYZ4D</t>
  </si>
  <si>
    <t>ch_1IWc3CKc9ZnUJQuycLxUZQtI</t>
  </si>
  <si>
    <t>src_1IWiTLKc9ZnUJQuyjOskBfgO</t>
  </si>
  <si>
    <t>smartbracket@rickbeal.fastmail.us</t>
  </si>
  <si>
    <t>cus_J90UIGUp4Mojov</t>
  </si>
  <si>
    <t>ch_1IWiTMKc9ZnUJQuyP32bup9V</t>
  </si>
  <si>
    <t>src_1IWigAKc9ZnUJQuyyiFLeYAt</t>
  </si>
  <si>
    <t>cus_J90hrLgyJQZlll</t>
  </si>
  <si>
    <t>ch_1IWigBKc9ZnUJQuyyU7sT9wB</t>
  </si>
  <si>
    <t>src_1IWkPxKc9ZnUJQuyeq07HLEW</t>
  </si>
  <si>
    <t>rgibbons83@gmail.com</t>
  </si>
  <si>
    <t>cus_J92UDxGPsuci1y</t>
  </si>
  <si>
    <t>ch_1IWkPyKc9ZnUJQuyukFeAqcz</t>
  </si>
  <si>
    <t>transfer</t>
  </si>
  <si>
    <t>invoice_id</t>
  </si>
  <si>
    <t>card_id</t>
  </si>
  <si>
    <t>captured</t>
  </si>
  <si>
    <t>customer_email</t>
  </si>
  <si>
    <t>customer_description</t>
  </si>
  <si>
    <t>customer_id</t>
  </si>
  <si>
    <t>statement_descriptor</t>
  </si>
  <si>
    <t>status</t>
  </si>
  <si>
    <t>converted_currency</t>
  </si>
  <si>
    <t>tax</t>
  </si>
  <si>
    <t>fee</t>
  </si>
  <si>
    <t>converted_amount_refunded</t>
  </si>
  <si>
    <t>converted_amount</t>
  </si>
  <si>
    <t>currency</t>
  </si>
  <si>
    <t>amount_refunded</t>
  </si>
  <si>
    <t>amount</t>
  </si>
  <si>
    <t>created</t>
  </si>
  <si>
    <t>seller_message</t>
  </si>
  <si>
    <t>description</t>
  </si>
  <si>
    <t>ROCKSTAR</t>
  </si>
  <si>
    <t>2022 SmartBracket</t>
  </si>
  <si>
    <t>Avg Revenue/User</t>
  </si>
  <si>
    <t>2021 SmartBracket</t>
  </si>
  <si>
    <t> • Facebook campaign: 25+25+25+37.83+4.04+50+75+75+125+175+250+250+129.09 = $1245.96</t>
  </si>
  <si>
    <t> • LinkedIn Premium Business Subscription - $59.99</t>
  </si>
  <si>
    <t> • LinkedIn campaign: 102.33+147.17+104.3+106.02 = $459.82</t>
  </si>
  <si>
    <t xml:space="preserve"> • Nick Morgan, recommended by Simone Fenzi to do outreach to social media influencers, $800 </t>
  </si>
  <si>
    <t>Total Cost:</t>
  </si>
  <si>
    <t> • Google Ads (setup some at $0.10 to $0.20 per click) - no CTR for the campaign</t>
  </si>
  <si>
    <t>Total Reached:</t>
  </si>
  <si>
    <t>Unsure</t>
  </si>
  <si>
    <t>MailChimp</t>
  </si>
  <si>
    <t>Category</t>
  </si>
  <si>
    <t>2022 Count</t>
  </si>
  <si>
    <t>2021 Count</t>
  </si>
  <si>
    <t>2022 vs. 2021</t>
  </si>
  <si>
    <t>Ad Spend</t>
  </si>
  <si>
    <t>Revenue</t>
  </si>
  <si>
    <t>User Count</t>
  </si>
  <si>
    <t> • Rotowire - $750 (13 sign up using code ROTOWIRE)</t>
  </si>
  <si>
    <t> • MailChimp - 2 campaigns (6 sign up using PIDAY and 1 signs up  using WELCOMEBACK)</t>
  </si>
  <si>
    <t> • MailChimp - 1 campaign (7 sign up using code WELCOMEBACK)</t>
  </si>
  <si>
    <t>2021 Marketing Costs:</t>
  </si>
  <si>
    <t>2022 Marketing Cost</t>
  </si>
  <si>
    <t>Customers</t>
  </si>
  <si>
    <t>yearly rev per user</t>
  </si>
  <si>
    <t>2022 Smartbracket Marketing</t>
  </si>
  <si>
    <t>CAC</t>
  </si>
  <si>
    <t>Total Reach</t>
  </si>
  <si>
    <t>RotoWire</t>
  </si>
  <si>
    <t>per user</t>
  </si>
  <si>
    <t>Campaign Cost</t>
  </si>
  <si>
    <t>Advertising Venue</t>
  </si>
  <si>
    <t>2022 Smartbrack Net P&amp;L</t>
  </si>
  <si>
    <t>TOTAL</t>
  </si>
  <si>
    <t>Measure</t>
  </si>
  <si>
    <t>Marketing Spend</t>
  </si>
  <si>
    <t>Net Profit</t>
  </si>
  <si>
    <t>Net Profit per User</t>
  </si>
  <si>
    <t>LinkedIn</t>
  </si>
  <si>
    <t>Facebook</t>
  </si>
  <si>
    <t>Social Media Influencer</t>
  </si>
  <si>
    <t>Other/Unknown</t>
  </si>
  <si>
    <t>2021 Smartbrack Net P&amp;L</t>
  </si>
  <si>
    <t>Projected Business Revenue (Supported Intelligence)</t>
  </si>
  <si>
    <t>yearly rev per customer</t>
  </si>
  <si>
    <t>Avg Revenue/Customer</t>
  </si>
  <si>
    <t>Projected Business Marketing/Outreach</t>
  </si>
  <si>
    <t>per business</t>
  </si>
  <si>
    <t>Anderson Economic Group (rev share)</t>
  </si>
  <si>
    <t>Taxes On Fee</t>
  </si>
  <si>
    <t>ch_3MmJ8SKc9ZnUJQuy0iSlccjy</t>
  </si>
  <si>
    <t>SMARTBRACKET</t>
  </si>
  <si>
    <t>cus_NXNviqTXD5VHW3</t>
  </si>
  <si>
    <t>suavdaddy@protonmail.com</t>
  </si>
  <si>
    <t>pm_1MmJ9sKc9ZnUJQuywfKHNqcq</t>
  </si>
  <si>
    <t>ch_3MmJ6EKc9ZnUJQuy13kcI5es</t>
  </si>
  <si>
    <t>cus_NXNt4MPTLRowZj</t>
  </si>
  <si>
    <t>streetsdme@aol.com</t>
  </si>
  <si>
    <t>pm_1MmJ7LKc9ZnUJQuyJgE6pGUY</t>
  </si>
  <si>
    <t>ch_3MmIS6Kc9ZnUJQuy0Arv1a9T</t>
  </si>
  <si>
    <t>cus_NXNDQB4HXyBSMn</t>
  </si>
  <si>
    <t>gregoryaturner@gmail.com</t>
  </si>
  <si>
    <t>pm_1MmISbKc9ZnUJQuy4PFGLk7b</t>
  </si>
  <si>
    <t>ch_3MmIJJKc9ZnUJQuy0Ko3ykx5</t>
  </si>
  <si>
    <t>cus_NXN4lvP46MkFY4</t>
  </si>
  <si>
    <t>rmorgart@hotmail.com</t>
  </si>
  <si>
    <t>pm_1MmIKZKc9ZnUJQuyx9lZafUX</t>
  </si>
  <si>
    <t>ch_3MmI6iKc9ZnUJQuy1mlCPdhm</t>
  </si>
  <si>
    <t>cus_NXMqsMh6dahlN5</t>
  </si>
  <si>
    <t>dromeo80@yahoo.com</t>
  </si>
  <si>
    <t>pm_1MmI7DKc9ZnUJQuyIcKTM74F</t>
  </si>
  <si>
    <t>ch_3MmHlqKc9ZnUJQuy0wowLyJv</t>
  </si>
  <si>
    <t>cus_NXMVtKHfa9EwFC</t>
  </si>
  <si>
    <t>kenjackson@live.com</t>
  </si>
  <si>
    <t>pm_1MmHmQKc9ZnUJQuyCg03tmP9</t>
  </si>
  <si>
    <t>ch_3MmHZWKc9ZnUJQuy1k1uJ0dc</t>
  </si>
  <si>
    <t>cus_NXMIY9XAccCKqI</t>
  </si>
  <si>
    <t>pm_1MmHa8Kc9ZnUJQuy99iRGbxf</t>
  </si>
  <si>
    <t>ch_3MmHQHKc9ZnUJQuy0beJrqKO</t>
  </si>
  <si>
    <t>cus_NXM94r5AFTYP7O</t>
  </si>
  <si>
    <t>david@searles.com</t>
  </si>
  <si>
    <t>pm_1MmHQpKc9ZnUJQuyQdOrHyrR</t>
  </si>
  <si>
    <t>ch_3MmGyYKc9ZnUJQuy0U6Y7Lnm</t>
  </si>
  <si>
    <t>cus_NXLgcm8Jnk9pR9</t>
  </si>
  <si>
    <t>mkd212@mocs.utc.edu</t>
  </si>
  <si>
    <t>pm_1MmGyqKc9ZnUJQuyckU76sXy</t>
  </si>
  <si>
    <t>ch_3MmGtOKc9ZnUJQuy1mXq1euG</t>
  </si>
  <si>
    <t>cus_NXLbo3A4Nze2WU</t>
  </si>
  <si>
    <t>scottmayo@gmail.com</t>
  </si>
  <si>
    <t>pm_1MmGufKc9ZnUJQuyRC1L2GHG</t>
  </si>
  <si>
    <t>ch_3MmGhLKc9ZnUJQuy0ZnDaP1i</t>
  </si>
  <si>
    <t>cus_NXLOAyUcZvSPFg</t>
  </si>
  <si>
    <t>justin.principi@gmail.com</t>
  </si>
  <si>
    <t>pm_1MmGiBKc9ZnUJQuy6bqNwdLS</t>
  </si>
  <si>
    <t>ch_3Mm7HxKc9ZnUJQuy1r71eQzV</t>
  </si>
  <si>
    <t>cus_NXBgrPWmkn0w7M</t>
  </si>
  <si>
    <t>scpetersen@centurylink.net</t>
  </si>
  <si>
    <t>pm_1Mm7JIKc9ZnUJQuy2MC0uCsM</t>
  </si>
  <si>
    <t>ch_3Mm6s7Kc9ZnUJQuy1vVHNKzM</t>
  </si>
  <si>
    <t>cus_NXBGjLMIhHJaf9</t>
  </si>
  <si>
    <t>diehlt@bellsouth.net</t>
  </si>
  <si>
    <t>pm_1Mm6uKKc9ZnUJQuyFXP8PidB</t>
  </si>
  <si>
    <t>ch_3Mm6gAKc9ZnUJQuy0r5ygnsT</t>
  </si>
  <si>
    <t>cus_NXB3BvnFgW13Jc</t>
  </si>
  <si>
    <t>tyler@banyanventures.com</t>
  </si>
  <si>
    <t>pm_1Mm6hOKc9ZnUJQuysBciIlZ1</t>
  </si>
  <si>
    <t>ch_3Mm5g6Kc9ZnUJQuy1rjTpT38</t>
  </si>
  <si>
    <t>cus_NXA0RYPWQeckbT</t>
  </si>
  <si>
    <t>mattrlescovensky@gmail.com</t>
  </si>
  <si>
    <t>pm_1Mm5gPKc9ZnUJQuyrg0lNbTN</t>
  </si>
  <si>
    <t>ch_3Mm5Y5Kc9ZnUJQuy14cKRkCs</t>
  </si>
  <si>
    <t>cus_NX9s6cIsAT0pCC</t>
  </si>
  <si>
    <t>perk.jacob@gmail.com</t>
  </si>
  <si>
    <t>pm_1Mm5YnKc9ZnUJQuyV2VRJIMW</t>
  </si>
  <si>
    <t>ch_3Mm4tJKc9ZnUJQuy0NPYBmT2</t>
  </si>
  <si>
    <t>cus_NX9CI3NR30R7O2</t>
  </si>
  <si>
    <t>lvanderpoel@icloud.com</t>
  </si>
  <si>
    <t>pm_1Mm4twKc9ZnUJQuyN9DvavE4</t>
  </si>
  <si>
    <t>ch_3Mm4CfKc9ZnUJQuy149UoD4K</t>
  </si>
  <si>
    <t>cus_NX8T4M9RLL9DZ2</t>
  </si>
  <si>
    <t>gradyraines97@gmail.com</t>
  </si>
  <si>
    <t>pm_1Mm4CuKc9ZnUJQuySBin4raJ</t>
  </si>
  <si>
    <t>ch_3Mm3gtKc9ZnUJQuy1KnyDity</t>
  </si>
  <si>
    <t>cus_NX82hMTCYBo8Zz</t>
  </si>
  <si>
    <t>bjmccomas@hotmail.com</t>
  </si>
  <si>
    <t>pm_1Mm3lzKc9ZnUJQuya2UNNsYX</t>
  </si>
  <si>
    <t>ch_3Mm3jFKc9ZnUJQuy1HpoCZsx</t>
  </si>
  <si>
    <t>cus_NX7zBT97Hdltai</t>
  </si>
  <si>
    <t>brandon.bermoy@gmail.com</t>
  </si>
  <si>
    <t>pm_1Mm3jmKc9ZnUJQuyMy0g0rx3</t>
  </si>
  <si>
    <t>ch_3Mm3J4Kc9ZnUJQuy1GcK1nd0</t>
  </si>
  <si>
    <t>cus_NX7bJRsarqjD9y</t>
  </si>
  <si>
    <t>pm_1Mm3LwKc9ZnUJQuypqTpNDB7</t>
  </si>
  <si>
    <t>ch_3Mm3EPKc9ZnUJQuy1tD3WVPv</t>
  </si>
  <si>
    <t>cus_NX7Us2mZ7ArGsK</t>
  </si>
  <si>
    <t>rwd1517@gmail.com</t>
  </si>
  <si>
    <t>pm_1Mm3FbKc9ZnUJQuyS4HG0n1L</t>
  </si>
  <si>
    <t>ch_3Mm3C2Kc9ZnUJQuy1bx5kHLA</t>
  </si>
  <si>
    <t>cus_NX7TjQN6XZzIGc</t>
  </si>
  <si>
    <t>charles_schulz@comcast.net</t>
  </si>
  <si>
    <t>pm_1Mm3EEKc9ZnUJQuyHASwS7M1</t>
  </si>
  <si>
    <t>ch_3Mm3CfKc9ZnUJQuy0ms53Ig1</t>
  </si>
  <si>
    <t>cus_NX7SHsCuIk1aOS</t>
  </si>
  <si>
    <t>jeff@hailer.us</t>
  </si>
  <si>
    <t>pm_1Mm3DjKc9ZnUJQuypTA3vFeZ</t>
  </si>
  <si>
    <t>ch_3Mm2lJKc9ZnUJQuy0scrZ4Cz</t>
  </si>
  <si>
    <t>cus_NX71sYAgt5aBNL</t>
  </si>
  <si>
    <t>bnhurley@yahoo.com</t>
  </si>
  <si>
    <t>pm_1Mm2nWKc9ZnUJQuyF0JvIoKD</t>
  </si>
  <si>
    <t>ch_3Mm0kZKc9ZnUJQuy1oVx8ETT</t>
  </si>
  <si>
    <t>cus_NX4uROAo0D8RBF</t>
  </si>
  <si>
    <t>shawngidley@gmail.com</t>
  </si>
  <si>
    <t>pm_1Mm0ksKc9ZnUJQuynTrQ4KnZ</t>
  </si>
  <si>
    <t>ch_3Mm08aKc9ZnUJQuy1B4jG96j</t>
  </si>
  <si>
    <t>cus_NX4IZ1nxY4peh9</t>
  </si>
  <si>
    <t>coreyelza@hotmail.com</t>
  </si>
  <si>
    <t>pm_1Mm09VKc9ZnUJQuyZcUyITdj</t>
  </si>
  <si>
    <t>ch_3MlzRIKc9ZnUJQuy1CuVdV3x</t>
  </si>
  <si>
    <t>cus_NX3ZnFxDfb4i7A</t>
  </si>
  <si>
    <t>stevegar75@gmail.com</t>
  </si>
  <si>
    <t>pm_1Mlzu1Kc9ZnUJQuy8NA7o1fa</t>
  </si>
  <si>
    <t>ch_3MlzrFKc9ZnUJQuy1mCtND6z</t>
  </si>
  <si>
    <t>cus_NX41xvupvvhAIp</t>
  </si>
  <si>
    <t>jkrakora@yahoo.com</t>
  </si>
  <si>
    <t>pm_1MlztPKc9ZnUJQuyv3vzpM5e</t>
  </si>
  <si>
    <t>ch_3MlyuRKc9ZnUJQuy1csGlNgc</t>
  </si>
  <si>
    <t>cus_NX31JqHaSE4Mlt</t>
  </si>
  <si>
    <t>wjcarman@umich.edu</t>
  </si>
  <si>
    <t>pm_1MlyvSKc9ZnUJQuyYljpyMNW</t>
  </si>
  <si>
    <t>ch_3Mlyd2Kc9ZnUJQuy0Koq292k</t>
  </si>
  <si>
    <t>cus_NX2kVagDaKKDX2</t>
  </si>
  <si>
    <t>pm_1MlyeuKc9ZnUJQuyOvrQbsPG</t>
  </si>
  <si>
    <t>ch_3MlyGRKc9ZnUJQuy1VB2CoEF</t>
  </si>
  <si>
    <t>cus_NX2Ny616NnyZdT</t>
  </si>
  <si>
    <t>mahrt@sbcglobal.net</t>
  </si>
  <si>
    <t>pm_1MlyVGKc9ZnUJQuyJR4OMsqW</t>
  </si>
  <si>
    <t>ch_3MlyQjKc9ZnUJQuy0QclSmXr</t>
  </si>
  <si>
    <t>cus_NX2WzKWn0hqDtg</t>
  </si>
  <si>
    <t>michelle.dees@outlook.com</t>
  </si>
  <si>
    <t>pm_1MlyREKc9ZnUJQuy0PdG4Mdk</t>
  </si>
  <si>
    <t>ch_3MlxitKc9ZnUJQuy1ZJbwkwq</t>
  </si>
  <si>
    <t>cus_NX1nS23LPsrHK3</t>
  </si>
  <si>
    <t>pm_1MlxjvKc9ZnUJQuy7Xq794Hx</t>
  </si>
  <si>
    <t>ch_3MlxHsKc9ZnUJQuy0eWwCRWo</t>
  </si>
  <si>
    <t>cus_NX1Lbkagtdrl5U</t>
  </si>
  <si>
    <t>pm_1MlxIdKc9ZnUJQuyW1bKgtRY</t>
  </si>
  <si>
    <t>ch_3MlwiGKc9ZnUJQuy0NV1L2yq</t>
  </si>
  <si>
    <t>cus_NX0kqcncu0Dx3I</t>
  </si>
  <si>
    <t>diners07_pomades@icloud.com</t>
  </si>
  <si>
    <t>pm_1MlwlWKc9ZnUJQuyAa81LLkv</t>
  </si>
  <si>
    <t>ch_3MlwgiKc9ZnUJQuy0NHJan6O</t>
  </si>
  <si>
    <t>cus_NX0iS5Pzbz6LOq</t>
  </si>
  <si>
    <t>ryanmoog@gmail.com</t>
  </si>
  <si>
    <t>pm_1MlwgnKc9ZnUJQuyhRyyglv7</t>
  </si>
  <si>
    <t>ch_3MlwalKc9ZnUJQuy01Ir54yD</t>
  </si>
  <si>
    <t>cus_NX0cnk833Kuma0</t>
  </si>
  <si>
    <t>kmurph825@gmail.com</t>
  </si>
  <si>
    <t>pm_1MlwbsKc9ZnUJQuy1GUOv6c5</t>
  </si>
  <si>
    <t>ch_3MlwWuKc9ZnUJQuy01infQJ4</t>
  </si>
  <si>
    <t>cus_NX0YWSTxqgprEI</t>
  </si>
  <si>
    <t>pm_1MlwXIKc9ZnUJQuy8bpEvYYJ</t>
  </si>
  <si>
    <t>ch_3MlwUaKc9ZnUJQuy1E8L1Vsd</t>
  </si>
  <si>
    <t>cus_NX0WOJBMXY9Z3U</t>
  </si>
  <si>
    <t>beierbwecm@gmail.com</t>
  </si>
  <si>
    <t>pm_1MlwVEKc9ZnUJQuyX4lnoXpX</t>
  </si>
  <si>
    <t>ch_3MlwERKc9ZnUJQuy1PNglNA4</t>
  </si>
  <si>
    <t>cus_NX0FBEpULRyACQ</t>
  </si>
  <si>
    <t>pm_1MlwEuKc9ZnUJQuyVbnfWO2z</t>
  </si>
  <si>
    <t>ch_3MlwEPKc9ZnUJQuy1vC7s5Px</t>
  </si>
  <si>
    <t>cus_NX0FuQGKFwgQl0</t>
  </si>
  <si>
    <t>pm_1MlwEhKc9ZnUJQuyPiymA5nC</t>
  </si>
  <si>
    <t>ch_3MlvxlKc9ZnUJQuy1ltAUAHM</t>
  </si>
  <si>
    <t>cus_NWzyjEVJhhuMHp</t>
  </si>
  <si>
    <t>gerickson@ericksonpartners.com</t>
  </si>
  <si>
    <t>pm_1Mlvy8Kc9ZnUJQuyQ0rcTeif</t>
  </si>
  <si>
    <t>ch_3MlvkwKc9ZnUJQuy0QiUI77w</t>
  </si>
  <si>
    <t>cus_NWzliNydfi0CY1</t>
  </si>
  <si>
    <t>smartbracket.sp.andy@theneedhams.org</t>
  </si>
  <si>
    <t>pm_1MlvlZKc9ZnUJQuylxtFy9K6</t>
  </si>
  <si>
    <t>ch_3Mlv4gKc9ZnUJQuy0uHW5tpQ</t>
  </si>
  <si>
    <t>cus_NWz3SkQrDhTPGj</t>
  </si>
  <si>
    <t>jpfmdo@yahoo.com</t>
  </si>
  <si>
    <t>pm_1Mlv4yKc9ZnUJQuydaxZ5th6</t>
  </si>
  <si>
    <t>ch_3Mluk8Kc9ZnUJQuy1IESTxfU</t>
  </si>
  <si>
    <t>cus_NWyiLIUDfTHehP</t>
  </si>
  <si>
    <t>carolinakerr20@gmail.com</t>
  </si>
  <si>
    <t>pm_1Mlul0Kc9ZnUJQuydAQCYXOH</t>
  </si>
  <si>
    <t>ch_3MlsqBKc9ZnUJQuy0OJqhs3k</t>
  </si>
  <si>
    <t>cus_NWwlEOGCKMtRaX</t>
  </si>
  <si>
    <t>brnhut@yahoo.com</t>
  </si>
  <si>
    <t>pm_1MlssIKc9ZnUJQuyBPVimKzv</t>
  </si>
  <si>
    <t>ch_3MlrTbKc9ZnUJQuy05GnpDgv</t>
  </si>
  <si>
    <t>cus_NWvLi1nk5K3Nth</t>
  </si>
  <si>
    <t>jmtedder1@yahoo.com</t>
  </si>
  <si>
    <t>pm_1MlrUNKc9ZnUJQuyNPt1h17m</t>
  </si>
  <si>
    <t>ch_3Mlpb0Kc9ZnUJQuy1GXsoeqR</t>
  </si>
  <si>
    <t>cus_NWtOflLJCV6LZA</t>
  </si>
  <si>
    <t>drummerof64@hotmail.com</t>
  </si>
  <si>
    <t>pm_1Mlpc1Kc9ZnUJQuyRyTPEq6o</t>
  </si>
  <si>
    <t>ch_3MlloMKc9ZnUJQuy0ovaRqLa</t>
  </si>
  <si>
    <t>cus_NWpUak8pI9lk26</t>
  </si>
  <si>
    <t>tomtruttschel@gmail.com</t>
  </si>
  <si>
    <t>pm_1Mllp8Kc9ZnUJQuyi271c3X2</t>
  </si>
  <si>
    <t>ch_3MllirKc9ZnUJQuy04rasXIZ</t>
  </si>
  <si>
    <t>cus_NWpOAE1iKO8okZ</t>
  </si>
  <si>
    <t>e.funston1961@gmail.com</t>
  </si>
  <si>
    <t>pm_1Mllk4Kc9ZnUJQuyubCAGSn3</t>
  </si>
  <si>
    <t>ch_3Mllf4Kc9ZnUJQuy0fi60PUI</t>
  </si>
  <si>
    <t>cus_NWpLssrYrAcbRe</t>
  </si>
  <si>
    <t>jdewet1966@gmail.com</t>
  </si>
  <si>
    <t>pm_1MllgOKc9ZnUJQuysYngH1nB</t>
  </si>
  <si>
    <t>ch_3MllGXKc9ZnUJQuy11xhjx1Q</t>
  </si>
  <si>
    <t>cus_NWoxGqdRBjWBEK</t>
  </si>
  <si>
    <t>greasemonkey48768@gmail.com</t>
  </si>
  <si>
    <t>pm_1MllJCKc9ZnUJQuypWDGPvuG</t>
  </si>
  <si>
    <t>ch_3MlkrxKc9ZnUJQuy0Tg4Qc4c</t>
  </si>
  <si>
    <t>cus_NWoVPCkXuajcei</t>
  </si>
  <si>
    <t>pm_1MlksFKc9ZnUJQuyZwH48dUE</t>
  </si>
  <si>
    <t>ch_3MlkVDKc9ZnUJQuy0UNL0C2o</t>
  </si>
  <si>
    <t>cus_NWo87oX21PV01m</t>
  </si>
  <si>
    <t>stanhol1@verizon.net</t>
  </si>
  <si>
    <t>pm_1MlkW8Kc9ZnUJQuyH6rwhNVy</t>
  </si>
  <si>
    <t>ch_3MljysKc9ZnUJQuy1NUVZE0I</t>
  </si>
  <si>
    <t>cus_NWnaghpnaSpAN2</t>
  </si>
  <si>
    <t>a21correll@yahoo.com</t>
  </si>
  <si>
    <t>pm_1Mljz9Kc9ZnUJQuybYRhpvJe</t>
  </si>
  <si>
    <t>ch_3MljVMKc9ZnUJQuy0KGqYZux</t>
  </si>
  <si>
    <t>cus_NWn6f3DLuUixdt</t>
  </si>
  <si>
    <t>naes201@gmail.com</t>
  </si>
  <si>
    <t>pm_1MljW5Kc9ZnUJQuyPwXiUCMu</t>
  </si>
  <si>
    <t>ch_3MljL3Kc9ZnUJQuy19PHXDRz</t>
  </si>
  <si>
    <t>cus_NWmvKgNPvZuLIv</t>
  </si>
  <si>
    <t>pm_1MljLHKc9ZnUJQuyN91eISx9</t>
  </si>
  <si>
    <t>ch_3MljCFKc9ZnUJQuy1T8L6aGJ</t>
  </si>
  <si>
    <t>cus_NWmm26fY2dYiwl</t>
  </si>
  <si>
    <t>lacevs@gmail.com</t>
  </si>
  <si>
    <t>pm_1MljCbKc9ZnUJQuy55gCLYGB</t>
  </si>
  <si>
    <t>ch_3MliWsKc9ZnUJQuy1xymeLZS</t>
  </si>
  <si>
    <t>cus_NWm5gdOcImBoFr</t>
  </si>
  <si>
    <t>shawnmcrossman@yahoo.com</t>
  </si>
  <si>
    <t>pm_1MliXZKc9ZnUJQuymJjdlr42</t>
  </si>
  <si>
    <t>ch_3MliQbKc9ZnUJQuy0pQIrpf8</t>
  </si>
  <si>
    <t>cus_NWlzZ5a3junBkI</t>
  </si>
  <si>
    <t>pm_1MliR1Kc9ZnUJQuyxF57lIdy</t>
  </si>
  <si>
    <t>ch_3MliM6Kc9ZnUJQuy1ri7N017</t>
  </si>
  <si>
    <t>cus_NWlw8vfqsMVG5k</t>
  </si>
  <si>
    <t>rogueparrot@gmail.com</t>
  </si>
  <si>
    <t>pm_1MliOwKc9ZnUJQuydLgtrBxH</t>
  </si>
  <si>
    <t>ch_3MliN1Kc9ZnUJQuy06ZNDJHU</t>
  </si>
  <si>
    <t>cus_NWlvtmxMdSuHMh</t>
  </si>
  <si>
    <t>saljunior10@gmail.com</t>
  </si>
  <si>
    <t>pm_1MliNCKc9ZnUJQuyTHYw8A3o</t>
  </si>
  <si>
    <t>ch_3MliG5Kc9ZnUJQuy0yK2reY8</t>
  </si>
  <si>
    <t>cus_NWloW2Ato5jo6B</t>
  </si>
  <si>
    <t>trc5004@gmail.com</t>
  </si>
  <si>
    <t>pm_1MliHAKc9ZnUJQuyfWFT8eyn</t>
  </si>
  <si>
    <t>ch_3Mlhp9Kc9ZnUJQuy1LSG8Ily</t>
  </si>
  <si>
    <t>cus_NWlMW55znqRMbx</t>
  </si>
  <si>
    <t>pm_1MlhpnKc9ZnUJQuyAPjsGdYo</t>
  </si>
  <si>
    <t>ch_3MlhduKc9ZnUJQuy14pMztJk</t>
  </si>
  <si>
    <t>cus_NWlAb4uD36LWVK</t>
  </si>
  <si>
    <t>ysu2121@aol.com</t>
  </si>
  <si>
    <t>pm_1MlheZKc9ZnUJQuym7BdTPdc</t>
  </si>
  <si>
    <t>ch_3MlhJLKc9ZnUJQuy0pbkNq6P</t>
  </si>
  <si>
    <t>cus_NWkqH8TPnaTNvd</t>
  </si>
  <si>
    <t>robertsemm@yahoo.com</t>
  </si>
  <si>
    <t>pm_1MlhKWKc9ZnUJQuyn7i4pWI6</t>
  </si>
  <si>
    <t>ch_3MlgoEKc9ZnUJQuy01CpTNLX</t>
  </si>
  <si>
    <t>cus_NWkKLNnlCI1gGK</t>
  </si>
  <si>
    <t>mgreene05@yahoo.com</t>
  </si>
  <si>
    <t>pm_1MlgpXKc9ZnUJQuyUbbba3qK</t>
  </si>
  <si>
    <t>ch_3MlfnAKc9ZnUJQuy0OCPJevk</t>
  </si>
  <si>
    <t>cus_NWjIzwhAaRhyMI</t>
  </si>
  <si>
    <t>jloe1977@icloud.com</t>
  </si>
  <si>
    <t>pm_1MlfpUKc9ZnUJQuygqQSxddw</t>
  </si>
  <si>
    <t>ch_3MleyfKc9ZnUJQuy0F3zPJ4q</t>
  </si>
  <si>
    <t>cus_NWiQMuRdSbWP4T</t>
  </si>
  <si>
    <t>john@healthbenefitsconnect.com</t>
  </si>
  <si>
    <t>pm_1MlezvKc9ZnUJQuyKaMMuYcW</t>
  </si>
  <si>
    <t>ch_3MlevoKc9ZnUJQuy0bu2unzd</t>
  </si>
  <si>
    <t>cus_NWiMbS81xzooOY</t>
  </si>
  <si>
    <t>jacko3538@gmail.com</t>
  </si>
  <si>
    <t>pm_1MlewAKc9ZnUJQuyCdZPHyqS</t>
  </si>
  <si>
    <t>ch_3MlebnKc9ZnUJQuy0hzYstKn</t>
  </si>
  <si>
    <t>cus_NWi2rHKeVTYNn6</t>
  </si>
  <si>
    <t>jhbradley@gmail.com</t>
  </si>
  <si>
    <t>pm_1MlecGKc9ZnUJQuyZPRXaVR6</t>
  </si>
  <si>
    <t>ch_3MleZxKc9ZnUJQuy06lXB3xq</t>
  </si>
  <si>
    <t>cus_NWi0Nu1OVnaHNK</t>
  </si>
  <si>
    <t>martyboo66@gmail.com</t>
  </si>
  <si>
    <t>pm_1MleaaKc9ZnUJQuyiljE4Iav</t>
  </si>
  <si>
    <t>ch_3MleAmKc9ZnUJQuy1Da33s02</t>
  </si>
  <si>
    <t>cus_NWhdnbxCFLaqW8</t>
  </si>
  <si>
    <t>cjmorelle@gmail.com</t>
  </si>
  <si>
    <t>pm_1MleEaKc9ZnUJQuyK9YldtLm</t>
  </si>
  <si>
    <t>ch_3MleAMKc9ZnUJQuy1pm69hWC</t>
  </si>
  <si>
    <t>cus_NWhb9WawEkToQu</t>
  </si>
  <si>
    <t>tplunkett@rocketmail.com</t>
  </si>
  <si>
    <t>pm_1MleBoKc9ZnUJQuyEleaTBe6</t>
  </si>
  <si>
    <t>ch_3MlditKc9ZnUJQuy0Q9DcSux</t>
  </si>
  <si>
    <t>cus_NWh7TLeQ0Tk6n5</t>
  </si>
  <si>
    <t>dirksen@hotmail.com</t>
  </si>
  <si>
    <t>pm_1MldjQKc9ZnUJQuyAOax3AM5</t>
  </si>
  <si>
    <t>ch_3MldeyKc9ZnUJQuy1JCMHLRd</t>
  </si>
  <si>
    <t>cus_NWh3dXy4S0LF6N</t>
  </si>
  <si>
    <t>billmartinct@yahoo.com</t>
  </si>
  <si>
    <t>pm_1Mldf6Kc9ZnUJQuy1gfKVYxR</t>
  </si>
  <si>
    <t>ch_3MldSHKc9ZnUJQuy0kq149T8</t>
  </si>
  <si>
    <t>cus_NWgrpUoRKAIp0S</t>
  </si>
  <si>
    <t>jcouperm@gmail.com</t>
  </si>
  <si>
    <t>pm_1MldTkKc9ZnUJQuyEGSY4TrA</t>
  </si>
  <si>
    <t>ch_3MldMaKc9ZnUJQuy1ijJ4gyM</t>
  </si>
  <si>
    <t>cus_NWgluc58SbOe1x</t>
  </si>
  <si>
    <t>lrlgolf@yahoo.com</t>
  </si>
  <si>
    <t>pm_1MldNgKc9ZnUJQuycNKRair6</t>
  </si>
  <si>
    <t>ch_3MldFRKc9ZnUJQuy0auUToGL</t>
  </si>
  <si>
    <t>cus_NWgeFapoq7wSXR</t>
  </si>
  <si>
    <t>pm_1MldGyKc9ZnUJQuy9HlZD4SR</t>
  </si>
  <si>
    <t>ch_3MldE3Kc9ZnUJQuy0C532iPG</t>
  </si>
  <si>
    <t>cus_NWgdufGdadKDXu</t>
  </si>
  <si>
    <t>nathanm1@bellsouth.net</t>
  </si>
  <si>
    <t>pm_1MldGEKc9ZnUJQuyGi3yX9eK</t>
  </si>
  <si>
    <t>ch_3MlcoJKc9ZnUJQuy1SYtJuaM</t>
  </si>
  <si>
    <t>cus_NWgBElSPUOQ4eC</t>
  </si>
  <si>
    <t>k_seeley@hotmail.com</t>
  </si>
  <si>
    <t>pm_1Mlcp2Kc9ZnUJQuySMkJz65P</t>
  </si>
  <si>
    <t>ch_3MlcmJKc9ZnUJQuy0m613lvK</t>
  </si>
  <si>
    <t>cus_NWg9GTYRgOUFVy</t>
  </si>
  <si>
    <t>rkz321@aol.com</t>
  </si>
  <si>
    <t>pm_1MlcncKc9ZnUJQuyn23HdPIe</t>
  </si>
  <si>
    <t>ch_3MlccVKc9ZnUJQuy1cUclisq</t>
  </si>
  <si>
    <t>cus_NWg4SnhdiYKLdz</t>
  </si>
  <si>
    <t>commissioner@upickemfootball.com</t>
  </si>
  <si>
    <t>pm_1Mlci1Kc9ZnUJQuyda0PFAiU</t>
  </si>
  <si>
    <t>ch_3MlcY5Kc9ZnUJQuy0Mqi9eMW</t>
  </si>
  <si>
    <t>cus_NWfwz2nBcS1miS</t>
  </si>
  <si>
    <t>wmumumma@comcast.net</t>
  </si>
  <si>
    <t>pm_1MlcaLKc9ZnUJQuyw8uB6LXm</t>
  </si>
  <si>
    <t>ch_3MlcJlKc9ZnUJQuy1EZgHHrn</t>
  </si>
  <si>
    <t>cus_NWfgosJ9vedMhq</t>
  </si>
  <si>
    <t>jspako@yahoo.com</t>
  </si>
  <si>
    <t>pm_1MlcKkKc9ZnUJQuyRAtpXa2r</t>
  </si>
  <si>
    <t>ch_3MlcJ1Kc9ZnUJQuy1WE1h3bQ</t>
  </si>
  <si>
    <t>cus_NWff4aCcIfj2w7</t>
  </si>
  <si>
    <t>sgates1981@outlook.com</t>
  </si>
  <si>
    <t>pm_1MlcKIKc9ZnUJQuySjkVuWjk</t>
  </si>
  <si>
    <t>ch_3Mlc9IKc9ZnUJQuy0gDWQDVn</t>
  </si>
  <si>
    <t>cus_NWfUrAq4UHp26Z</t>
  </si>
  <si>
    <t>pm_1Mlc9WKc9ZnUJQuyg9Je4lSi</t>
  </si>
  <si>
    <t>ch_3Mlbo7Kc9ZnUJQuy1soHVTJP</t>
  </si>
  <si>
    <t>cus_NWf9dkfjgHtGsr</t>
  </si>
  <si>
    <t>stevebgraham@gmail.com</t>
  </si>
  <si>
    <t>pm_1MlbojKc9ZnUJQuyfz4q6bBr</t>
  </si>
  <si>
    <t>ch_3MlbmOKc9ZnUJQuy0ET3rvvl</t>
  </si>
  <si>
    <t>cus_NWf7WhtSyG3VyN</t>
  </si>
  <si>
    <t>gloson@gmail.com</t>
  </si>
  <si>
    <t>pm_1MlbnTKc9ZnUJQuyql6Dp4Gl</t>
  </si>
  <si>
    <t>ch_3MlbQqKc9ZnUJQuy0t8jAerW</t>
  </si>
  <si>
    <t>cus_NWekBZ0heqMUTg</t>
  </si>
  <si>
    <t>pm_1MlbRHKc9ZnUJQuyPLuCtNdA</t>
  </si>
  <si>
    <t>ch_3MlbONKc9ZnUJQuy1p58xEyQ</t>
  </si>
  <si>
    <t>cus_NWejjLzeL50Rox</t>
  </si>
  <si>
    <t>ccs60@allophone.com</t>
  </si>
  <si>
    <t>pm_1MlbPxKc9ZnUJQuynHnkaYHs</t>
  </si>
  <si>
    <t>ch_3MlbIVKc9ZnUJQuy1yL25PXE</t>
  </si>
  <si>
    <t>cus_NWecXTj00e7ohh</t>
  </si>
  <si>
    <t>albertunited05@gmail.com</t>
  </si>
  <si>
    <t>pm_1MlbJ7Kc9ZnUJQuyxMp3MZ7Q</t>
  </si>
  <si>
    <t>ch_3MlbDiKc9ZnUJQuy1mhgDE0n</t>
  </si>
  <si>
    <t>cus_NWeYgFibPwKtFW</t>
  </si>
  <si>
    <t>steve.boykin@verizon.net</t>
  </si>
  <si>
    <t>pm_1MlbFLKc9ZnUJQuyJTBZSHEJ</t>
  </si>
  <si>
    <t>ch_3Mlb7sKc9ZnUJQuy1jAZZi3o</t>
  </si>
  <si>
    <t>cus_NWeRGfrILOPhy1</t>
  </si>
  <si>
    <t>gatesb6029@yahoo.com</t>
  </si>
  <si>
    <t>pm_1Mlb8pKc9ZnUJQuyN8WowHTZ</t>
  </si>
  <si>
    <t>ch_3Mlb7HKc9ZnUJQuy1eY4WQCC</t>
  </si>
  <si>
    <t>cus_NWeQLijSBP6brK</t>
  </si>
  <si>
    <t>cureblake@gmail.com</t>
  </si>
  <si>
    <t>pm_1Mlb7aKc9ZnUJQuyeeIp1Sjo</t>
  </si>
  <si>
    <t>ch_3Mlb4uKc9ZnUJQuy1Uv5QP3S</t>
  </si>
  <si>
    <t>cus_NWeNijEbtSaZ0v</t>
  </si>
  <si>
    <t>jcoxtransport@gmail.com</t>
  </si>
  <si>
    <t>pm_1Mlb5CKc9ZnUJQuyJBOMtDvz</t>
  </si>
  <si>
    <t>ch_3Mlb3oKc9ZnUJQuy0Bf0EQnB</t>
  </si>
  <si>
    <t>cus_NWeMwNPYVR7NXK</t>
  </si>
  <si>
    <t>fewer-daises-0r@icloud.com</t>
  </si>
  <si>
    <t>pm_1Mlb3xKc9ZnUJQuyNCExFVpZ</t>
  </si>
  <si>
    <t>ch_3MlaqrKc9ZnUJQuy1BchWGAz</t>
  </si>
  <si>
    <t>cus_NWeA9LfrZmDLGS</t>
  </si>
  <si>
    <t>actraeger@mchsi.com</t>
  </si>
  <si>
    <t>pm_1MlasOKc9ZnUJQuyN4zflMdh</t>
  </si>
  <si>
    <t>ch_3MlakuKc9ZnUJQuy0rVnX0d3</t>
  </si>
  <si>
    <t>cus_NWe83XAQVlvjRM</t>
  </si>
  <si>
    <t>bighoff75@aim.com</t>
  </si>
  <si>
    <t>pm_1Mlaq6Kc9ZnUJQuyr7joTRxE</t>
  </si>
  <si>
    <t>ch_3MlalMKc9ZnUJQuy1SCuKXZ0</t>
  </si>
  <si>
    <t>cus_NWe3yAjAP1pSFs</t>
  </si>
  <si>
    <t>dorrman25@gmail.com</t>
  </si>
  <si>
    <t>pm_1MlamKKc9ZnUJQuyirQqZrpg</t>
  </si>
  <si>
    <t>ch_3MlajxKc9ZnUJQuy1PR7zCzZ</t>
  </si>
  <si>
    <t>cus_NWe2AwRFRfUirc</t>
  </si>
  <si>
    <t>rickschwab20@gmail.com</t>
  </si>
  <si>
    <t>pm_1MlakAKc9ZnUJQuyltBG9kfm</t>
  </si>
  <si>
    <t>ch_3MlaHIKc9ZnUJQuy1F7WnAuX</t>
  </si>
  <si>
    <t>cus_NWdYDAwwkKOHV9</t>
  </si>
  <si>
    <t>michael2907@icloud.com</t>
  </si>
  <si>
    <t>pm_1MlaHnKc9ZnUJQuycBeT7bZy</t>
  </si>
  <si>
    <t>ch_3MlaG6Kc9ZnUJQuy1c6xFWQs</t>
  </si>
  <si>
    <t>cus_NWdYzvalEdOfka</t>
  </si>
  <si>
    <t>adam.fugere@gmail.com</t>
  </si>
  <si>
    <t>pm_1MlaGtKc9ZnUJQuykt7uNpPy</t>
  </si>
  <si>
    <t>ch_3MlZScKc9ZnUJQuy0Kw5MDxn</t>
  </si>
  <si>
    <t>cus_NWciqsFcesdYSV</t>
  </si>
  <si>
    <t>uksmiley4@ymail.com</t>
  </si>
  <si>
    <t>pm_1MlZTVKc9ZnUJQuyNQmTXbVB</t>
  </si>
  <si>
    <t>ch_3MlZQ1Kc9ZnUJQuy0fBQHFy8</t>
  </si>
  <si>
    <t>cus_NWcgUroQIwc3g5</t>
  </si>
  <si>
    <t>dereklau10@gmail.com</t>
  </si>
  <si>
    <t>pm_1MlZQiKc9ZnUJQuyaKWykT81</t>
  </si>
  <si>
    <t>ch_3MlZBCKc9ZnUJQuy0x5KeePH</t>
  </si>
  <si>
    <t>cus_NWcQKvspgvaozK</t>
  </si>
  <si>
    <t>shaneschaefer.az@me.com</t>
  </si>
  <si>
    <t>pm_1MlZBmKc9ZnUJQuy29ubvnfJ</t>
  </si>
  <si>
    <t>ch_3MlYnpKc9ZnUJQuy1aojeksW</t>
  </si>
  <si>
    <t>cus_NWc2atPFdxW5h2</t>
  </si>
  <si>
    <t>dphipps77us@yahoo.com</t>
  </si>
  <si>
    <t>pm_1MlYonKc9ZnUJQuybJOKqhJy</t>
  </si>
  <si>
    <t>ch_3MlXayKc9ZnUJQuy0hZbNqw5</t>
  </si>
  <si>
    <t>cus_NWan69XQuGn4Ap</t>
  </si>
  <si>
    <t>edwcncg211@gmail.com</t>
  </si>
  <si>
    <t>pm_1MlXc6Kc9ZnUJQuyihppId6Y</t>
  </si>
  <si>
    <t>ch_3MlOZ0Kc9ZnUJQuy0b4S9cRo</t>
  </si>
  <si>
    <t>cus_NWRVBxisQ5yKsj</t>
  </si>
  <si>
    <t>pm_1MlOcYKc9ZnUJQuyfEjh0V2m</t>
  </si>
  <si>
    <t>ch_3MlO6vKc9ZnUJQuy1zFbnikb</t>
  </si>
  <si>
    <t>cus_NWR0zPtqNkhOGc</t>
  </si>
  <si>
    <t>michael9648@sbcglobal.net</t>
  </si>
  <si>
    <t>pm_1MlO8SKc9ZnUJQuyAuzm16G7</t>
  </si>
  <si>
    <t>ch_3MlMWRKc9ZnUJQuy0f9Y5QgJ</t>
  </si>
  <si>
    <t>cus_NWPLyznItqMhyd</t>
  </si>
  <si>
    <t>wxdude@gmail.com</t>
  </si>
  <si>
    <t>pm_1MlMXAKc9ZnUJQuy9gSgXbdV</t>
  </si>
  <si>
    <t>ch_3MlLt5Kc9ZnUJQuy0WzWYIoH</t>
  </si>
  <si>
    <t>cus_NWOh2otgF05loI</t>
  </si>
  <si>
    <t>pm_1MlLteKc9ZnUJQuy6XyroqUC</t>
  </si>
  <si>
    <t>ch_3MlLT0Kc9ZnUJQuy0QCi2Uap</t>
  </si>
  <si>
    <t>cus_NWOF8ubStyrT42</t>
  </si>
  <si>
    <t>zsmiller40@gmail.com</t>
  </si>
  <si>
    <t>pm_1MlLTGKc9ZnUJQuymmPNvbjo</t>
  </si>
  <si>
    <t>ch_3MlL6WKc9ZnUJQuy1HTOrYBA</t>
  </si>
  <si>
    <t>cus_NWNsLHtlizKjYM</t>
  </si>
  <si>
    <t>pm_1MlL6eKc9ZnUJQuyKnKkX9mw</t>
  </si>
  <si>
    <t>ch_3MlKUYKc9ZnUJQuy1TT2WYRr</t>
  </si>
  <si>
    <t>cus_NWNFrWuZlTBokJ</t>
  </si>
  <si>
    <t>roteandpit@live.com</t>
  </si>
  <si>
    <t>pm_1MlKUqKc9ZnUJQuyV4piWJSp</t>
  </si>
  <si>
    <t>ch_3MlHuRKc9ZnUJQuy1VNAIjSA</t>
  </si>
  <si>
    <t>cus_NWKbY6GaY2VzMS</t>
  </si>
  <si>
    <t>smartbracket@eatafat.one</t>
  </si>
  <si>
    <t>pm_1MlHwCKc9ZnUJQuyVlxyBNAF</t>
  </si>
  <si>
    <t>ch_3MlGi1Kc9ZnUJQuy0r2NikA4</t>
  </si>
  <si>
    <t>cus_NWJL13LKEg3y6Q</t>
  </si>
  <si>
    <t>pm_1MlGimKc9ZnUJQuyKduLVS4M</t>
  </si>
  <si>
    <t>ch_3MlEbAKc9ZnUJQuy1VW6rd60</t>
  </si>
  <si>
    <t>cus_NWHDOdM7S4eliz</t>
  </si>
  <si>
    <t>tropicshades@aol.com</t>
  </si>
  <si>
    <t>pm_1MlEfFKc9ZnUJQuyUcGhBVuH</t>
  </si>
  <si>
    <t>ch_3MlEWeKc9ZnUJQuy1cbit1X1</t>
  </si>
  <si>
    <t>cus_NWH6Qhs3JG15ry</t>
  </si>
  <si>
    <t>pm_1MlEY3Kc9ZnUJQuymAVG5ykn</t>
  </si>
  <si>
    <t>ch_3MlEJ9Kc9ZnUJQuy0VETx4FG</t>
  </si>
  <si>
    <t>cus_NWGsxROYRoivHS</t>
  </si>
  <si>
    <t>terencejosephfitzpatrick@gmail.com</t>
  </si>
  <si>
    <t>pm_1MlEKlKc9ZnUJQuy2Wd1MhaS</t>
  </si>
  <si>
    <t>ch_3MlEHPKc9ZnUJQuy1bx3BMq5</t>
  </si>
  <si>
    <t>cus_NWGpYaXbpgGAgd</t>
  </si>
  <si>
    <t>pm_1MlEHrKc9ZnUJQuyDOcNX1Sa</t>
  </si>
  <si>
    <t>ch_3MlE2FKc9ZnUJQuy14979seO</t>
  </si>
  <si>
    <t>cus_NWGmbP9N0zlDp5</t>
  </si>
  <si>
    <t>john.magee12@gmail.com</t>
  </si>
  <si>
    <t>pm_1MlEEYKc9ZnUJQuy5cJCBgcr</t>
  </si>
  <si>
    <t>ch_3MlDh3Kc9ZnUJQuy1NgQ47I2</t>
  </si>
  <si>
    <t>cus_NWGG2WQycAy2Rq</t>
  </si>
  <si>
    <t>jrandall711@gmail.com</t>
  </si>
  <si>
    <t>pm_1MlDjaKc9ZnUJQuyLs0hbu89</t>
  </si>
  <si>
    <t>ch_3MlCRnKc9ZnUJQuy1yWb1krO</t>
  </si>
  <si>
    <t>cus_NWExeX8OlsoJq3</t>
  </si>
  <si>
    <t>ken@sorensoncpas.com</t>
  </si>
  <si>
    <t>pm_1MlCT6Kc9ZnUJQuyRWx4r9Sr</t>
  </si>
  <si>
    <t>ch_3MlCFsKc9ZnUJQuy0XJwMxxr</t>
  </si>
  <si>
    <t>cus_NWElH9a5BtOZ8v</t>
  </si>
  <si>
    <t>mikecolvin53@yahoo.com</t>
  </si>
  <si>
    <t>pm_1MlCHrKc9ZnUJQuyyD49HCKo</t>
  </si>
  <si>
    <t>ch_3MlCFHKc9ZnUJQuy1fniwOaw</t>
  </si>
  <si>
    <t>cus_NWEktsXSr2tOzT</t>
  </si>
  <si>
    <t>gary@trainmgmt.com</t>
  </si>
  <si>
    <t>pm_1MlCGmKc9ZnUJQuypn0a8OAz</t>
  </si>
  <si>
    <t>ch_3MlBn6Kc9ZnUJQuy1GQZTzcy</t>
  </si>
  <si>
    <t>cus_NWEM9ouY9uOVBq</t>
  </si>
  <si>
    <t>brad.schuldt@att.net</t>
  </si>
  <si>
    <t>pm_1MlBtSKc9ZnUJQuyKyajuQxS</t>
  </si>
  <si>
    <t>ch_3Ml8SHKc9ZnUJQuy01WrITix</t>
  </si>
  <si>
    <t>cus_NWAo3xuWxAaspS</t>
  </si>
  <si>
    <t>macdonrm@hotmail.com</t>
  </si>
  <si>
    <t>pm_1Ml8SfKc9ZnUJQuyrASONALw</t>
  </si>
  <si>
    <t>ch_3MkyRUKc9ZnUJQuy1qeRSg6r</t>
  </si>
  <si>
    <t>cus_NW1rak0FRTQnmL</t>
  </si>
  <si>
    <t>billykna@gmail.com</t>
  </si>
  <si>
    <t>pm_1MkznNKc9ZnUJQuyvJllXRmK</t>
  </si>
  <si>
    <t>ch_3MkzaVKc9ZnUJQuy155XjQY7</t>
  </si>
  <si>
    <t>cus_NW1dkH1EmneLwD</t>
  </si>
  <si>
    <t>logan.groulx@gmail.com</t>
  </si>
  <si>
    <t>pm_1MkzagKc9ZnUJQuySaTjHtva</t>
  </si>
  <si>
    <t>ch_3Mkz7SKc9ZnUJQuy04KceIEH</t>
  </si>
  <si>
    <t>cus_NW19Vbelv7LZPI</t>
  </si>
  <si>
    <t>balsnow@gmail.com</t>
  </si>
  <si>
    <t>pm_1Mkz7dKc9ZnUJQuyCEcbUgB0</t>
  </si>
  <si>
    <t>ch_3Mku3xKc9ZnUJQuy1PyvYLe5</t>
  </si>
  <si>
    <t>cus_NVvx75KMblVxgr</t>
  </si>
  <si>
    <t>kurttkinslow@gmail.com</t>
  </si>
  <si>
    <t>pm_1Mku56Kc9ZnUJQuyFUBi6Iad</t>
  </si>
  <si>
    <t>ch_3MktyzKc9ZnUJQuy15suXWSj</t>
  </si>
  <si>
    <t>cus_NVvrWmHBTYj2hY</t>
  </si>
  <si>
    <t>kmcla10566@gmail.com</t>
  </si>
  <si>
    <t>pm_1MktzoKc9ZnUJQuyl262EvDo</t>
  </si>
  <si>
    <t>ch_3MkXMpKc9ZnUJQuy1Rkt2hHm</t>
  </si>
  <si>
    <t>cus_NVYUll96g7w5cS</t>
  </si>
  <si>
    <t>scott.janovec@gmail.com</t>
  </si>
  <si>
    <t>pm_1MkXNQKc9ZnUJQuyei8bz6bF</t>
  </si>
  <si>
    <t>ch_3MkBTvKc9ZnUJQuy1zihNxZh</t>
  </si>
  <si>
    <t>cus_NVBs1d1iOXYTxI</t>
  </si>
  <si>
    <t>bradrcurry@gmail.com</t>
  </si>
  <si>
    <t>pm_1MkBUeKc9ZnUJQuykbFaEyKS</t>
  </si>
  <si>
    <t>ch_3Mip3MKc9ZnUJQuy0NXCh9yy</t>
  </si>
  <si>
    <t>cus_NTmdPkmzZwNkQa</t>
  </si>
  <si>
    <t>ryanmyoung.12@gmail.com</t>
  </si>
  <si>
    <t>pm_1Mip4YKc9ZnUJQuyMWrXoagx</t>
  </si>
  <si>
    <t>2023 SmartBracket</t>
  </si>
  <si>
    <t>Mode</t>
  </si>
  <si>
    <t>Card Last4</t>
  </si>
  <si>
    <t>Card Brand</t>
  </si>
  <si>
    <t>Card Funding</t>
  </si>
  <si>
    <t>Card Exp Month</t>
  </si>
  <si>
    <t>Card Exp Year</t>
  </si>
  <si>
    <t>Card Name</t>
  </si>
  <si>
    <t>Card Address Line1</t>
  </si>
  <si>
    <t>Card Address Line2</t>
  </si>
  <si>
    <t>Card Address City</t>
  </si>
  <si>
    <t>Card Address State</t>
  </si>
  <si>
    <t>Card Address Country</t>
  </si>
  <si>
    <t>Card Address Zip</t>
  </si>
  <si>
    <t>Card Issue Country</t>
  </si>
  <si>
    <t>Card Fingerprint</t>
  </si>
  <si>
    <t>Card CVC Status</t>
  </si>
  <si>
    <t>Card AVS Zip Status</t>
  </si>
  <si>
    <t>Card AVS Line1 Status</t>
  </si>
  <si>
    <t>Card Tokenization Method</t>
  </si>
  <si>
    <t>Shipping Address Line1</t>
  </si>
  <si>
    <t>Shipping Address Line2</t>
  </si>
  <si>
    <t>Shipping Address City</t>
  </si>
  <si>
    <t>Shipping Address State</t>
  </si>
  <si>
    <t>Shipping Address Country</t>
  </si>
  <si>
    <t>Shipping Address Postal Code</t>
  </si>
  <si>
    <t>Disputed Amount</t>
  </si>
  <si>
    <t>Dispute Status</t>
  </si>
  <si>
    <t>Dispute Reason</t>
  </si>
  <si>
    <t>Dispute Date (UTC)</t>
  </si>
  <si>
    <t>Dispute Evidence Due (UTC)</t>
  </si>
  <si>
    <t>Invoice Number</t>
  </si>
  <si>
    <t>Payment Source Type</t>
  </si>
  <si>
    <t>Is Link</t>
  </si>
  <si>
    <t>Destination</t>
  </si>
  <si>
    <t>Transfer Group</t>
  </si>
  <si>
    <t>PaymentIntent ID</t>
  </si>
  <si>
    <t>Live</t>
  </si>
  <si>
    <t>Visa</t>
  </si>
  <si>
    <t>credit</t>
  </si>
  <si>
    <t>John Soave</t>
  </si>
  <si>
    <t>US</t>
  </si>
  <si>
    <t>sckWzM7qLrxjXOSb</t>
  </si>
  <si>
    <t>pass</t>
  </si>
  <si>
    <t>fail</t>
  </si>
  <si>
    <t>card</t>
  </si>
  <si>
    <t>pi_3MmJ8SKc9ZnUJQuy0PsNODy2</t>
  </si>
  <si>
    <t>MasterCard</t>
  </si>
  <si>
    <t>Christopher Barcelo</t>
  </si>
  <si>
    <t>GKlt0Di9UB8XPExr</t>
  </si>
  <si>
    <t>pi_3MmJ6EKc9ZnUJQuy1sifKtBu</t>
  </si>
  <si>
    <t>Gregory A Turner</t>
  </si>
  <si>
    <t>oqGUE2Xl0jgTxmCy</t>
  </si>
  <si>
    <t>pi_3MmIS6Kc9ZnUJQuy0tVWeNzV</t>
  </si>
  <si>
    <t>Robert Morgart</t>
  </si>
  <si>
    <t>3WsIsrOTaKdwbfDW</t>
  </si>
  <si>
    <t>pi_3MmIJJKc9ZnUJQuy0416ZHKQ</t>
  </si>
  <si>
    <t>Daniel Romeo</t>
  </si>
  <si>
    <t>63 Henderson Avenue</t>
  </si>
  <si>
    <t>Yonkers</t>
  </si>
  <si>
    <t>NY</t>
  </si>
  <si>
    <t>X7LpOznjaJTsYHqy</t>
  </si>
  <si>
    <t>apple_pay</t>
  </si>
  <si>
    <t>pi_3MmI6iKc9ZnUJQuy1JzgaRNJ</t>
  </si>
  <si>
    <t>William K Jackson</t>
  </si>
  <si>
    <t>7518 Lancer Drive</t>
  </si>
  <si>
    <t>Charlotte</t>
  </si>
  <si>
    <t>NC</t>
  </si>
  <si>
    <t>UryN8rRQfBd6xWRR</t>
  </si>
  <si>
    <t>pi_3MmHlqKc9ZnUJQuy00s8qZCY</t>
  </si>
  <si>
    <t>debit</t>
  </si>
  <si>
    <t>Matthew Langlois</t>
  </si>
  <si>
    <t>huGAYRhYmJSvwNCB</t>
  </si>
  <si>
    <t>pi_3MmHZWKc9ZnUJQuy1CwtLSeM</t>
  </si>
  <si>
    <t>David S Searles</t>
  </si>
  <si>
    <t>8sWh8O4JIsXf8lyn</t>
  </si>
  <si>
    <t>pi_3MmHQHKc9ZnUJQuy0na73Hna</t>
  </si>
  <si>
    <t>Atakan Koeskeroglu</t>
  </si>
  <si>
    <t>AE</t>
  </si>
  <si>
    <t>DE</t>
  </si>
  <si>
    <t>ddIAxcXmhurvhRTW</t>
  </si>
  <si>
    <t>pi_3MmGyYKc9ZnUJQuy0sDOYbcq</t>
  </si>
  <si>
    <t>Scott Mayo</t>
  </si>
  <si>
    <t>hLbTz2YCjqZXEOmM</t>
  </si>
  <si>
    <t>pi_3MmGtOKc9ZnUJQuy1ZHESGLA</t>
  </si>
  <si>
    <t>JUSTIN C PRINCIPI</t>
  </si>
  <si>
    <t>Y0WdPnU5Mg84YI8c</t>
  </si>
  <si>
    <t>pi_3MmGhLKc9ZnUJQuy0oyuy1QY</t>
  </si>
  <si>
    <t>Scott Petersen</t>
  </si>
  <si>
    <t>98qzMRQf9bgUgggL</t>
  </si>
  <si>
    <t>pi_3Mm7HxKc9ZnUJQuy1MivBcEL</t>
  </si>
  <si>
    <t>Thomas Diehl</t>
  </si>
  <si>
    <t>ETmBQIxUK0xAoglg</t>
  </si>
  <si>
    <t>pi_3Mm6s7Kc9ZnUJQuy1qT41n27</t>
  </si>
  <si>
    <t>American Express</t>
  </si>
  <si>
    <t>Tyler Thatcher</t>
  </si>
  <si>
    <t>n4vGdxhkODV7Rxwh</t>
  </si>
  <si>
    <t>pi_3Mm6gAKc9ZnUJQuy0GqIkIpZ</t>
  </si>
  <si>
    <t>Matthew r Lescovensky</t>
  </si>
  <si>
    <t>5037 Comstock Cir</t>
  </si>
  <si>
    <t>Keller</t>
  </si>
  <si>
    <t>TX</t>
  </si>
  <si>
    <t>q5LpiH3N6EFwIG7B</t>
  </si>
  <si>
    <t>pi_3Mm5g6Kc9ZnUJQuy1NXBOj4E</t>
  </si>
  <si>
    <t>Jacob Perkins</t>
  </si>
  <si>
    <t>cWaO6SOXNncPzuay</t>
  </si>
  <si>
    <t>pi_3Mm5Y5Kc9ZnUJQuy16PC3QPs</t>
  </si>
  <si>
    <t>Luke Vanderpoel</t>
  </si>
  <si>
    <t>apfOTTsAtiVtfqIf</t>
  </si>
  <si>
    <t>pi_3Mm4tJKc9ZnUJQuy0zGW468O</t>
  </si>
  <si>
    <t>Grady Raines</t>
  </si>
  <si>
    <t>210 pleasant street</t>
  </si>
  <si>
    <t>ithaca</t>
  </si>
  <si>
    <t>FM6rRn9WigkX1vQK</t>
  </si>
  <si>
    <t>android_pay</t>
  </si>
  <si>
    <t>pi_3Mm4CfKc9ZnUJQuy1vC0PVyu</t>
  </si>
  <si>
    <t>Benjamin McComas</t>
  </si>
  <si>
    <t>345 Retreat Lane</t>
  </si>
  <si>
    <t>Marysville</t>
  </si>
  <si>
    <t>OH</t>
  </si>
  <si>
    <t>qU2UOU9QcmIZxpqE</t>
  </si>
  <si>
    <t>pi_3Mm3gtKc9ZnUJQuy1wN5qhih</t>
  </si>
  <si>
    <t>Brandon Bermoy</t>
  </si>
  <si>
    <t>24781 Belgreen Place</t>
  </si>
  <si>
    <t>Lake Forest</t>
  </si>
  <si>
    <t>CA</t>
  </si>
  <si>
    <t>Ky9gMQgx77bM6yVU</t>
  </si>
  <si>
    <t>pi_3Mm3jFKc9ZnUJQuy1cX2D0va</t>
  </si>
  <si>
    <t>Timothy Broderick</t>
  </si>
  <si>
    <t>OFfZisc4FNB1lOrp</t>
  </si>
  <si>
    <t>pi_3Mm3J4Kc9ZnUJQuy1vA6sbCy</t>
  </si>
  <si>
    <t>Robert W Dremluk</t>
  </si>
  <si>
    <t>yxVJGbVHiBjhukiC</t>
  </si>
  <si>
    <t>pi_3Mm3EPKc9ZnUJQuy1VfFtTJG</t>
  </si>
  <si>
    <t>Charles R Schulz</t>
  </si>
  <si>
    <t>muRLClBWnv35XW3t</t>
  </si>
  <si>
    <t>pi_3Mm3C2Kc9ZnUJQuy1fD1nCY4</t>
  </si>
  <si>
    <t>Jeffery C Hailer</t>
  </si>
  <si>
    <t>n63WJdSHqTevuztw</t>
  </si>
  <si>
    <t>pi_3Mm3CfKc9ZnUJQuy0wlrMsTA</t>
  </si>
  <si>
    <t>Barry N Hurley</t>
  </si>
  <si>
    <t>IMfXkGfAGvLtcmoX</t>
  </si>
  <si>
    <t>pi_3Mm2lJKc9ZnUJQuy0BSBrTqq</t>
  </si>
  <si>
    <t>Shawn Gidley</t>
  </si>
  <si>
    <t>1211 Saint Clair Avenue Northeast</t>
  </si>
  <si>
    <t>Suite 905</t>
  </si>
  <si>
    <t>Cleveland</t>
  </si>
  <si>
    <t>rwjLgpWoQAkrJNLP</t>
  </si>
  <si>
    <t>pi_3Mm0kZKc9ZnUJQuy11P4qHYz</t>
  </si>
  <si>
    <t>Corey Elza</t>
  </si>
  <si>
    <t>3U4nyyatrkpraCmr</t>
  </si>
  <si>
    <t>pi_3Mm08aKc9ZnUJQuy1ZuEexU2</t>
  </si>
  <si>
    <t>Clinton Garbrecht</t>
  </si>
  <si>
    <t>PYdXLfEb6D8Ci9lS</t>
  </si>
  <si>
    <t>pi_3MlzRIKc9ZnUJQuy1bfQGjYM</t>
  </si>
  <si>
    <t>Joseph J Krakora</t>
  </si>
  <si>
    <t>jVT4fscYetyi7Ibf</t>
  </si>
  <si>
    <t>pi_3MlzrFKc9ZnUJQuy1k1hE5yr</t>
  </si>
  <si>
    <t>Wendy J Carman</t>
  </si>
  <si>
    <t>bMnzkHEPF62PvByp</t>
  </si>
  <si>
    <t>pi_3MlyuRKc9ZnUJQuy1vkbKoKE</t>
  </si>
  <si>
    <t>Neal Anderson</t>
  </si>
  <si>
    <t>6110 Heathfield Dr.</t>
  </si>
  <si>
    <t>East Lansing</t>
  </si>
  <si>
    <t>MI</t>
  </si>
  <si>
    <t>O9yvewZI9Bm3uU2I</t>
  </si>
  <si>
    <t>pi_3Mlyd2Kc9ZnUJQuy0qKiGZzS</t>
  </si>
  <si>
    <t>John K Mahrt</t>
  </si>
  <si>
    <t>FW032aIWMpOIV8Jv</t>
  </si>
  <si>
    <t>pi_3MlyGRKc9ZnUJQuy17S3A0wb</t>
  </si>
  <si>
    <t>Michelle Dees</t>
  </si>
  <si>
    <t xml:space="preserve">12148 Bella Palazzo Dr. </t>
  </si>
  <si>
    <t>Fort Worth</t>
  </si>
  <si>
    <t>FJNgEA64EVM5mghT</t>
  </si>
  <si>
    <t>pi_3MlyQjKc9ZnUJQuy0XjoT1Pc</t>
  </si>
  <si>
    <t>Stephen Webster</t>
  </si>
  <si>
    <t>JT14fDH63P7xnvmU</t>
  </si>
  <si>
    <t>pi_3MlxitKc9ZnUJQuy1FsreFeZ</t>
  </si>
  <si>
    <t>Thomas Miremont</t>
  </si>
  <si>
    <t>V5eZlCM3OcKq1BsF</t>
  </si>
  <si>
    <t>pi_3MlxHsKc9ZnUJQuy0fPK90Bc</t>
  </si>
  <si>
    <t>Jhawker44@msn.com</t>
  </si>
  <si>
    <t>AbGudiQOLqppwcdV</t>
  </si>
  <si>
    <t>pi_3MlwiGKc9ZnUJQuy0XrQ7ENZ</t>
  </si>
  <si>
    <t>Ryan Moog</t>
  </si>
  <si>
    <t>5tZ5CqPDE8ZmygIw</t>
  </si>
  <si>
    <t>pi_3MlwgiKc9ZnUJQuy0kjYf642</t>
  </si>
  <si>
    <t>Kevin Murphy</t>
  </si>
  <si>
    <t>sPwN7DPMR6IzkPM5</t>
  </si>
  <si>
    <t>pi_3MlwalKc9ZnUJQuy0lbG10Nb</t>
  </si>
  <si>
    <t>austin lambert</t>
  </si>
  <si>
    <t>1836 Vista Drive</t>
  </si>
  <si>
    <t>Mechanicsburg</t>
  </si>
  <si>
    <t>PA</t>
  </si>
  <si>
    <t>Aot3lyWZPwAL8HV2</t>
  </si>
  <si>
    <t>pi_3MlwWuKc9ZnUJQuy0QRwWl6h</t>
  </si>
  <si>
    <t>bruce beier</t>
  </si>
  <si>
    <t>5UV8lU9vBLBgA8dX</t>
  </si>
  <si>
    <t>pi_3MlwUaKc9ZnUJQuy1UTw8qGh</t>
  </si>
  <si>
    <t>David Yon</t>
  </si>
  <si>
    <t>yRwDJpD0KNP0Vlgz</t>
  </si>
  <si>
    <t>pi_3MlwERKc9ZnUJQuy18pQ0CU2</t>
  </si>
  <si>
    <t>Mike Althouse</t>
  </si>
  <si>
    <t>14 Eagle Way</t>
  </si>
  <si>
    <t>Avondale</t>
  </si>
  <si>
    <t>pANVC7sb7ZWGxciQ</t>
  </si>
  <si>
    <t>pi_3MlwEPKc9ZnUJQuy148Fvjof</t>
  </si>
  <si>
    <t>Gary Erickson</t>
  </si>
  <si>
    <t xml:space="preserve">1300 Ben Franklin </t>
  </si>
  <si>
    <t>Sarasota</t>
  </si>
  <si>
    <t>FL</t>
  </si>
  <si>
    <t>pPUqaCJcYsGdHwR4</t>
  </si>
  <si>
    <t>pi_3MlvxlKc9ZnUJQuy1Cip1rzX</t>
  </si>
  <si>
    <t>James Andrew Needham</t>
  </si>
  <si>
    <t>C4zFnYZHzP9X6FEe</t>
  </si>
  <si>
    <t>pi_3MlvkwKc9ZnUJQuy0CNDeFPB</t>
  </si>
  <si>
    <t>John Fuschino</t>
  </si>
  <si>
    <t>68 mary hadge drive</t>
  </si>
  <si>
    <t>schenectady</t>
  </si>
  <si>
    <t>FMLZ4Hp6vscYFmNe</t>
  </si>
  <si>
    <t>pi_3Mlv4gKc9ZnUJQuy0DzmNRmM</t>
  </si>
  <si>
    <t>Bryan Kerr</t>
  </si>
  <si>
    <t>S5yevz3lzZIaVcdr</t>
  </si>
  <si>
    <t>pi_3Mluk8Kc9ZnUJQuy11ZdpP3m</t>
  </si>
  <si>
    <t>Brian Huot</t>
  </si>
  <si>
    <t>e7GLPQPPsMPqvz9X</t>
  </si>
  <si>
    <t>pi_3MlsqBKc9ZnUJQuy0ZC4MOrq</t>
  </si>
  <si>
    <t>James Tedder</t>
  </si>
  <si>
    <t>WGwWTdeCp7Gp94Xh</t>
  </si>
  <si>
    <t>pi_3MlrTbKc9ZnUJQuy0DgtSZos</t>
  </si>
  <si>
    <t>Discover</t>
  </si>
  <si>
    <t>Paul Principe</t>
  </si>
  <si>
    <t>CMDNrOLNtkOGxgpv</t>
  </si>
  <si>
    <t>pi_3Mlpb0Kc9ZnUJQuy1esHqyc4</t>
  </si>
  <si>
    <t>Thomas Truttschel</t>
  </si>
  <si>
    <t>424 E Capitol Drive</t>
  </si>
  <si>
    <t>Hartland</t>
  </si>
  <si>
    <t>WI</t>
  </si>
  <si>
    <t>UrdyqNSJQKuJEoL4</t>
  </si>
  <si>
    <t>pi_3MlloMKc9ZnUJQuy0cDlEEYu</t>
  </si>
  <si>
    <t>Edward Funston</t>
  </si>
  <si>
    <t>Nti7x50wULYUNA6t</t>
  </si>
  <si>
    <t>pi_3MllirKc9ZnUJQuy0obTH7hl</t>
  </si>
  <si>
    <t>John S de Wet</t>
  </si>
  <si>
    <t>vpfrUVe8NlmmMYwU</t>
  </si>
  <si>
    <t>pi_3Mllf4Kc9ZnUJQuy0vLUv1GV</t>
  </si>
  <si>
    <t>kenneth r. beach</t>
  </si>
  <si>
    <t>5h79OA1edC9mSN1h</t>
  </si>
  <si>
    <t>pi_3MllGXKc9ZnUJQuy1Pc3h0WN</t>
  </si>
  <si>
    <t>Mario Ramos</t>
  </si>
  <si>
    <t>V1B 3W8</t>
  </si>
  <si>
    <t>wn4aXOnDVpENTPid</t>
  </si>
  <si>
    <t>pi_3MlkrxKc9ZnUJQuy0ObLf06i</t>
  </si>
  <si>
    <t>Stanley Holley</t>
  </si>
  <si>
    <t>o0tkHYPSd0EnhWDs</t>
  </si>
  <si>
    <t>pi_3MlkVDKc9ZnUJQuy0UfyP2sE</t>
  </si>
  <si>
    <t>Aaron Correll</t>
  </si>
  <si>
    <t>6182 35th St S</t>
  </si>
  <si>
    <t>Fargo</t>
  </si>
  <si>
    <t>ND</t>
  </si>
  <si>
    <t>njx8CDGp4sRsdMty</t>
  </si>
  <si>
    <t>pi_3MljysKc9ZnUJQuy1Gwg9bBV</t>
  </si>
  <si>
    <t>Sean Anderson</t>
  </si>
  <si>
    <t>YQgxwIc1OUR0jp65</t>
  </si>
  <si>
    <t>pi_3MljVMKc9ZnUJQuy0dSt76c1</t>
  </si>
  <si>
    <t>Allen Roberts</t>
  </si>
  <si>
    <t>5923 Pierce Manse Loop</t>
  </si>
  <si>
    <t>Benton</t>
  </si>
  <si>
    <t>AR</t>
  </si>
  <si>
    <t>72019-8545</t>
  </si>
  <si>
    <t>UrDPEtNbUEtWuYPd</t>
  </si>
  <si>
    <t>pi_3MljL3Kc9ZnUJQuy157kBGta</t>
  </si>
  <si>
    <t>Debra N Hanson</t>
  </si>
  <si>
    <t>pxU9MkqBJwMUZXn5</t>
  </si>
  <si>
    <t>pi_3MljCFKc9ZnUJQuy1kZqoMz9</t>
  </si>
  <si>
    <t>Shawn Crossman</t>
  </si>
  <si>
    <t>52bk71SxJTF9gGwg</t>
  </si>
  <si>
    <t>pi_3MliWsKc9ZnUJQuy1WvFETBn</t>
  </si>
  <si>
    <t>pi_3MliQbKc9ZnUJQuy0gAaNM0e</t>
  </si>
  <si>
    <t>Gregory Alan Fidler</t>
  </si>
  <si>
    <t>uHGiHdNsvYn9B0Ov</t>
  </si>
  <si>
    <t>pi_3MliM6Kc9ZnUJQuy13OuSv1x</t>
  </si>
  <si>
    <t>Salvador Cerrillo</t>
  </si>
  <si>
    <t>8421 Cravell Ave</t>
  </si>
  <si>
    <t>Pico Rivera</t>
  </si>
  <si>
    <t>XmPzR5Xn6pg4ADNd</t>
  </si>
  <si>
    <t>pi_3MliN1Kc9ZnUJQuy0P93ApYq</t>
  </si>
  <si>
    <t>Tyler Cummings</t>
  </si>
  <si>
    <t>qgUBaPUdbzIscl9s</t>
  </si>
  <si>
    <t>pi_3MliG5Kc9ZnUJQuy0tvW9s2V</t>
  </si>
  <si>
    <t>Cathi Friend</t>
  </si>
  <si>
    <t>8E9u45qn7Rrj3EEp</t>
  </si>
  <si>
    <t>pi_3Mlhp9Kc9ZnUJQuy1DFw0lNE</t>
  </si>
  <si>
    <t>Trevor McAleer</t>
  </si>
  <si>
    <t>3469 Delmar Drive</t>
  </si>
  <si>
    <t>ROCKY RIVER</t>
  </si>
  <si>
    <t>8j2QnN2oeGFG4TuI</t>
  </si>
  <si>
    <t>pi_3MlhduKc9ZnUJQuy1t2p37bc</t>
  </si>
  <si>
    <t>robert semm</t>
  </si>
  <si>
    <t>JCpAbEMpUyMdKn2j</t>
  </si>
  <si>
    <t>pi_3MlhJLKc9ZnUJQuy0JEeWldQ</t>
  </si>
  <si>
    <t>MATTHEW P GREENE</t>
  </si>
  <si>
    <t>yXtudxFRiY8PrFxV</t>
  </si>
  <si>
    <t>pi_3MlgoEKc9ZnUJQuy0ijzVUuC</t>
  </si>
  <si>
    <t>Jason Loepp</t>
  </si>
  <si>
    <t xml:space="preserve">373 Shore Haven dr </t>
  </si>
  <si>
    <t xml:space="preserve">GR </t>
  </si>
  <si>
    <t>711bFcLzRvffbwXH</t>
  </si>
  <si>
    <t>pi_3MlfnAKc9ZnUJQuy0hrq56JY</t>
  </si>
  <si>
    <t>John Bartleson</t>
  </si>
  <si>
    <t>Q0sNnTIv0kFq864s</t>
  </si>
  <si>
    <t>pi_3MleyfKc9ZnUJQuy0Axgcok8</t>
  </si>
  <si>
    <t>prepaid</t>
  </si>
  <si>
    <t>John Sauer</t>
  </si>
  <si>
    <t>1208 Matthias Dr</t>
  </si>
  <si>
    <t>Columbus</t>
  </si>
  <si>
    <t>aJd0cDu7BhGITuWw</t>
  </si>
  <si>
    <t>pi_3MlevoKc9ZnUJQuy0UwqG4O0</t>
  </si>
  <si>
    <t>John Bradley</t>
  </si>
  <si>
    <t>6999 Blair Rd</t>
  </si>
  <si>
    <t>Fredericktown</t>
  </si>
  <si>
    <t>ICRBpOB5QixIHeyJ</t>
  </si>
  <si>
    <t>pi_3MlebnKc9ZnUJQuy044md7eJ</t>
  </si>
  <si>
    <t>MARTIN B ORAVETS</t>
  </si>
  <si>
    <t>VJ04eTSph63MqMzl</t>
  </si>
  <si>
    <t>pi_3MleZxKc9ZnUJQuy0FFwWsuM</t>
  </si>
  <si>
    <t>Christopher Morelle</t>
  </si>
  <si>
    <t>iHMgFCt4VoZSa9qB</t>
  </si>
  <si>
    <t>pi_3MleAmKc9ZnUJQuy1PrKh3V2</t>
  </si>
  <si>
    <t>Thomas Plunkett</t>
  </si>
  <si>
    <t>rWbatnIq804WxFYH</t>
  </si>
  <si>
    <t>pi_3MleAMKc9ZnUJQuy11yJRTiB</t>
  </si>
  <si>
    <t>gary dirksen</t>
  </si>
  <si>
    <t>GLEN ELLYN</t>
  </si>
  <si>
    <t>IL</t>
  </si>
  <si>
    <t>TtT7UXNlPJccFzfl</t>
  </si>
  <si>
    <t>pi_3MlditKc9ZnUJQuy0KWK62lp</t>
  </si>
  <si>
    <t>William Martin</t>
  </si>
  <si>
    <t>100 Regency Hill Dr</t>
  </si>
  <si>
    <t>Watertown</t>
  </si>
  <si>
    <t>CT</t>
  </si>
  <si>
    <t>EaG2wEFShmOwzHMO</t>
  </si>
  <si>
    <t>pi_3MldeyKc9ZnUJQuy1Bmwiovf</t>
  </si>
  <si>
    <t>John Moorhead</t>
  </si>
  <si>
    <t>sO6Xwvm4iWzYUl30</t>
  </si>
  <si>
    <t>pi_3MldSHKc9ZnUJQuy01UqtQ24</t>
  </si>
  <si>
    <t>Lisa R. Linville</t>
  </si>
  <si>
    <t>0QG0eoOGJNYQftv2</t>
  </si>
  <si>
    <t>pi_3MldMaKc9ZnUJQuy1jCmOwkJ</t>
  </si>
  <si>
    <t>Henry W Schmidt</t>
  </si>
  <si>
    <t>Wj1INH5PKHPkF2Jh</t>
  </si>
  <si>
    <t>pi_3MldFRKc9ZnUJQuy0RUCzRhg</t>
  </si>
  <si>
    <t>Nathan Malkiel</t>
  </si>
  <si>
    <t>Q4HJh3ZezyPJI7I9</t>
  </si>
  <si>
    <t>pi_3MldE3Kc9ZnUJQuy0w62KNAv</t>
  </si>
  <si>
    <t>Kevin Seeley</t>
  </si>
  <si>
    <t>qePVX7U2QbfMgzZx</t>
  </si>
  <si>
    <t>pi_3MlcoJKc9ZnUJQuy1C932lax</t>
  </si>
  <si>
    <t>Russell K Zeigler</t>
  </si>
  <si>
    <t>9uFwF8l3zC3X0fmc</t>
  </si>
  <si>
    <t>pi_3MlcmJKc9ZnUJQuy0bR5C0Bb</t>
  </si>
  <si>
    <t>jonathan conroy</t>
  </si>
  <si>
    <t>lspQPBXvfOEw5rwJ</t>
  </si>
  <si>
    <t>pi_3MlccVKc9ZnUJQuy1OtjCzmy</t>
  </si>
  <si>
    <t>Randall S Mumma</t>
  </si>
  <si>
    <t>tkdBAvTNarJED03G</t>
  </si>
  <si>
    <t>pi_3MlcY5Kc9ZnUJQuy0u53Ekxg</t>
  </si>
  <si>
    <t>John M Spakowski</t>
  </si>
  <si>
    <t>PpUKhtYpKQOhuFAL</t>
  </si>
  <si>
    <t>pi_3MlcJlKc9ZnUJQuy1KZQiaTn</t>
  </si>
  <si>
    <t>Stephen P Gates</t>
  </si>
  <si>
    <t>Vk0iOrN5nGc4m7U1</t>
  </si>
  <si>
    <t>pi_3MlcJ1Kc9ZnUJQuy1Nrl4TF0</t>
  </si>
  <si>
    <t>mina dawoud</t>
  </si>
  <si>
    <t>1801 Clare Ave</t>
  </si>
  <si>
    <t>apt 244</t>
  </si>
  <si>
    <t>West Palm Beach</t>
  </si>
  <si>
    <t>ObcoZdObSlEdp487</t>
  </si>
  <si>
    <t>pi_3Mlc9IKc9ZnUJQuy0u6z2XUk</t>
  </si>
  <si>
    <t>Steven Graham</t>
  </si>
  <si>
    <t>Zlro5KBe9lJJ015P</t>
  </si>
  <si>
    <t>pi_3Mlbo7Kc9ZnUJQuy185t4l1u</t>
  </si>
  <si>
    <t>Gary Losonczy</t>
  </si>
  <si>
    <t xml:space="preserve">5817 Starlight Drive </t>
  </si>
  <si>
    <t xml:space="preserve">Haltom City </t>
  </si>
  <si>
    <t>8mnr9eNLMpW2Ulnb</t>
  </si>
  <si>
    <t>pi_3MlbmOKc9ZnUJQuy0MhGaQwG</t>
  </si>
  <si>
    <t>Grant Weingarten</t>
  </si>
  <si>
    <t>kiSUiNx6YSRIBuRO</t>
  </si>
  <si>
    <t>pi_3MlbQqKc9ZnUJQuy0UgCmwxC</t>
  </si>
  <si>
    <t>CHRIS SPREIER</t>
  </si>
  <si>
    <t>SX0IGNbKoCAWsyWj</t>
  </si>
  <si>
    <t>pi_3MlbONKc9ZnUJQuy1R48Uh7A</t>
  </si>
  <si>
    <t>Alberto Salas</t>
  </si>
  <si>
    <t>VMbjoVDZ0DGseum4</t>
  </si>
  <si>
    <t>pi_3MlbIVKc9ZnUJQuy1SC7ZCnV</t>
  </si>
  <si>
    <t>Oswald Boykin</t>
  </si>
  <si>
    <t>Oo9pA31tAt6bFz57</t>
  </si>
  <si>
    <t>pi_3MlbDiKc9ZnUJQuy12Rb6M2R</t>
  </si>
  <si>
    <t>William J Gates</t>
  </si>
  <si>
    <t>AfkMu4mGeSjlvHsP</t>
  </si>
  <si>
    <t>pi_3Mlb7sKc9ZnUJQuy14wPgA0E</t>
  </si>
  <si>
    <t>Blake Cure</t>
  </si>
  <si>
    <t>CS7W2jF3pgbHleJ5</t>
  </si>
  <si>
    <t>pi_3Mlb7HKc9ZnUJQuy194WxPjN</t>
  </si>
  <si>
    <t>Jeff Cox</t>
  </si>
  <si>
    <t>4625 Silverado Rd.</t>
  </si>
  <si>
    <t>Madera</t>
  </si>
  <si>
    <t>7YRumnHSYnOs0dRJ</t>
  </si>
  <si>
    <t>pi_3Mlb4uKc9ZnUJQuy1YZ8hX8f</t>
  </si>
  <si>
    <t>Ian Tanner</t>
  </si>
  <si>
    <t>2649 Ledgestone Dr NW</t>
  </si>
  <si>
    <t xml:space="preserve">Uniontown </t>
  </si>
  <si>
    <t>FAk2XLlTvmitBZ7M</t>
  </si>
  <si>
    <t>pi_3Mlb3oKc9ZnUJQuy0v9olfN0</t>
  </si>
  <si>
    <t>Andrew Traeger</t>
  </si>
  <si>
    <t>8508 Orchard Dr</t>
  </si>
  <si>
    <t>Johnston</t>
  </si>
  <si>
    <t>IA</t>
  </si>
  <si>
    <t>zHIOpu9KG9yAaFDi</t>
  </si>
  <si>
    <t>pi_3MlaqrKc9ZnUJQuy1KO93q8G</t>
  </si>
  <si>
    <t>Dustin Hoffer</t>
  </si>
  <si>
    <t>pc0mFY4lcyqlWfRS</t>
  </si>
  <si>
    <t>pi_3MlakuKc9ZnUJQuy0UCy1qUY</t>
  </si>
  <si>
    <t>Andrew Dorr</t>
  </si>
  <si>
    <t xml:space="preserve">178 Bouchard Ave </t>
  </si>
  <si>
    <t xml:space="preserve">Dracut </t>
  </si>
  <si>
    <t>MA</t>
  </si>
  <si>
    <t>fgAaFGhF7YEmPBpw</t>
  </si>
  <si>
    <t>pi_3MlalMKc9ZnUJQuy1Yqdjvjg</t>
  </si>
  <si>
    <t>Rick Schwab</t>
  </si>
  <si>
    <t>1001 155th Street West</t>
  </si>
  <si>
    <t>Burnsville</t>
  </si>
  <si>
    <t>MN</t>
  </si>
  <si>
    <t>XmBhDb8IRL9gWRNv</t>
  </si>
  <si>
    <t>pi_3MlajxKc9ZnUJQuy1ziLJCC9</t>
  </si>
  <si>
    <t>Michael Weinmann</t>
  </si>
  <si>
    <t>4312 Oxford Mill Rd</t>
  </si>
  <si>
    <t>Waxhaw</t>
  </si>
  <si>
    <t>CK3MgpA6gfYk3GOT</t>
  </si>
  <si>
    <t>pi_3MlaHIKc9ZnUJQuy1QESBAE5</t>
  </si>
  <si>
    <t>Adam Fugere</t>
  </si>
  <si>
    <t>184 Crest Drive</t>
  </si>
  <si>
    <t>Pawtucket</t>
  </si>
  <si>
    <t>RI</t>
  </si>
  <si>
    <t>guMEuT5cRRumh9OF</t>
  </si>
  <si>
    <t>pi_3MlaG6Kc9ZnUJQuy1di9xWAr</t>
  </si>
  <si>
    <t>Brady Smiley</t>
  </si>
  <si>
    <t>318 Swan Circle</t>
  </si>
  <si>
    <t>Elsmere</t>
  </si>
  <si>
    <t>KY</t>
  </si>
  <si>
    <t>QLRBuSZ2JZUEgZG1</t>
  </si>
  <si>
    <t>pi_3MlZScKc9ZnUJQuy0HkwMskW</t>
  </si>
  <si>
    <t>Derek Lau</t>
  </si>
  <si>
    <t>XRQMS8deOJo99U9x</t>
  </si>
  <si>
    <t>pi_3MlZQ1Kc9ZnUJQuy00xUaFvW</t>
  </si>
  <si>
    <t>Shane Schaefer</t>
  </si>
  <si>
    <t>Rgqnz37bJpphaoAh</t>
  </si>
  <si>
    <t>pi_3MlZBCKc9ZnUJQuy08ABEKtZ</t>
  </si>
  <si>
    <t>DALE PHIPPS</t>
  </si>
  <si>
    <t>akKLoPLTK6OZFOzL</t>
  </si>
  <si>
    <t>pi_3MlYnpKc9ZnUJQuy1fQ5a0Gp</t>
  </si>
  <si>
    <t>Edward Almonte</t>
  </si>
  <si>
    <t>J147ErEetYzmWFtB</t>
  </si>
  <si>
    <t>pi_3MlXayKc9ZnUJQuy0WL8nbyL</t>
  </si>
  <si>
    <t>Scott Beitel</t>
  </si>
  <si>
    <t>S7J 2R9</t>
  </si>
  <si>
    <t>3Ya5iBSbFXJs2FL2</t>
  </si>
  <si>
    <t>pi_3MlOZ0Kc9ZnUJQuy0reyTibj</t>
  </si>
  <si>
    <t>Michael A Pignatella</t>
  </si>
  <si>
    <t>DY69OiCevXHSdeG7</t>
  </si>
  <si>
    <t>pi_3MlO6vKc9ZnUJQuy13eTXGfN</t>
  </si>
  <si>
    <t>Jason C Parkin</t>
  </si>
  <si>
    <t>6BYcnkbdXlGfbZSY</t>
  </si>
  <si>
    <t>pi_3MlMWRKc9ZnUJQuy0vRy7f2P</t>
  </si>
  <si>
    <t>Patrick L Anderson</t>
  </si>
  <si>
    <t>J2iMt7tUBvmdW4Sg</t>
  </si>
  <si>
    <t>pi_3MlLt5Kc9ZnUJQuy0itGDiB1</t>
  </si>
  <si>
    <t>Zach Miller</t>
  </si>
  <si>
    <t>5731 E 300 S</t>
  </si>
  <si>
    <t xml:space="preserve">Greenfield </t>
  </si>
  <si>
    <t>IN</t>
  </si>
  <si>
    <t>48bgjITGRdsvnvAU</t>
  </si>
  <si>
    <t>pi_3MlLT0Kc9ZnUJQuy0gsqwFen</t>
  </si>
  <si>
    <t>Timothy Curry</t>
  </si>
  <si>
    <t>2775 Merrihills Dr SW</t>
  </si>
  <si>
    <t>Rochester</t>
  </si>
  <si>
    <t>M83ypVXpHj7DwXU8</t>
  </si>
  <si>
    <t>pi_3MlL6WKc9ZnUJQuy1lWuzDEb</t>
  </si>
  <si>
    <t>Daniel Trimble</t>
  </si>
  <si>
    <t>10695 Williamswoods Dr</t>
  </si>
  <si>
    <t xml:space="preserve">Independence </t>
  </si>
  <si>
    <t>W7dCKNp9Xt05KkV5</t>
  </si>
  <si>
    <t>pi_3MlKUYKc9ZnUJQuy1vAa2See</t>
  </si>
  <si>
    <t>Jarrad W Glover</t>
  </si>
  <si>
    <t>wNhREWeBgZpmt9ON</t>
  </si>
  <si>
    <t>pi_3MlHuRKc9ZnUJQuy1o8eTisQ</t>
  </si>
  <si>
    <t>Timothy A Finnan</t>
  </si>
  <si>
    <t>QM9o4nwTk9nVW7Wc</t>
  </si>
  <si>
    <t>pi_3MlGi1Kc9ZnUJQuy0t3JaHuX</t>
  </si>
  <si>
    <t>Robert Melley</t>
  </si>
  <si>
    <t>TXV5UkelfucA2IAA</t>
  </si>
  <si>
    <t>pi_3MlEbAKc9ZnUJQuy1ubj1wfc</t>
  </si>
  <si>
    <t>John W Downey</t>
  </si>
  <si>
    <t>yACB9ZOEAsjUa17J</t>
  </si>
  <si>
    <t>pi_3MlEWeKc9ZnUJQuy1UgB7Vtt</t>
  </si>
  <si>
    <t>Terence Fitzpatrick</t>
  </si>
  <si>
    <t>t83IpGAu4cESnVNK</t>
  </si>
  <si>
    <t>pi_3MlEJ9Kc9ZnUJQuy0vQvXYmL</t>
  </si>
  <si>
    <t>Joseph T Cascio Sr</t>
  </si>
  <si>
    <t>k2uMM5SyUzSzlJHj</t>
  </si>
  <si>
    <t>pi_3MlEHPKc9ZnUJQuy1pRy3FfC</t>
  </si>
  <si>
    <t>John Magee</t>
  </si>
  <si>
    <t>UAUuq9OMamhnrRzL</t>
  </si>
  <si>
    <t>pi_3MlE2FKc9ZnUJQuy19hyur3b</t>
  </si>
  <si>
    <t>jeffrey randall</t>
  </si>
  <si>
    <t>8K3kMgwwhfXAKsHU</t>
  </si>
  <si>
    <t>pi_3MlDh3Kc9ZnUJQuy15sMVekg</t>
  </si>
  <si>
    <t>Kenneth Sorenson</t>
  </si>
  <si>
    <t>M5G2RMZPbHu2NUdW</t>
  </si>
  <si>
    <t>pi_3MlCRnKc9ZnUJQuy1G6FxWnD</t>
  </si>
  <si>
    <t>Michael Colvin</t>
  </si>
  <si>
    <t>zhXPRCVF0eB0alTg</t>
  </si>
  <si>
    <t>pi_3MlCFsKc9ZnUJQuy0MIMlMdp</t>
  </si>
  <si>
    <t>Gary Gwaltney</t>
  </si>
  <si>
    <t>nUd4x8rfw5lzRe0x</t>
  </si>
  <si>
    <t>pi_3MlCFHKc9ZnUJQuy1jjuddog</t>
  </si>
  <si>
    <t>Brad Schuldt</t>
  </si>
  <si>
    <t>wPH4RDH2rVwpSVzG</t>
  </si>
  <si>
    <t>pi_3MlBn6Kc9ZnUJQuy1cAeOlZd</t>
  </si>
  <si>
    <t>Robin MacDonald</t>
  </si>
  <si>
    <t>1217 Londonderry Cir</t>
  </si>
  <si>
    <t>Ormond Beach</t>
  </si>
  <si>
    <t>jTHKLISmCxxb42DB</t>
  </si>
  <si>
    <t>pi_3Ml8SHKc9ZnUJQuy0qWKeuB1</t>
  </si>
  <si>
    <t>William Aichroth</t>
  </si>
  <si>
    <t>fwRCb3vhZcDRHlD7</t>
  </si>
  <si>
    <t>pi_3MkyRUKc9ZnUJQuy1rfKrHL2</t>
  </si>
  <si>
    <t>Heidi Groulx</t>
  </si>
  <si>
    <t>4560 Chasemoor Dr</t>
  </si>
  <si>
    <t>Portage</t>
  </si>
  <si>
    <t>qvN9K730nIeFOQJ0</t>
  </si>
  <si>
    <t>pi_3MkzaVKc9ZnUJQuy1i3EamzX</t>
  </si>
  <si>
    <t>Bal Snow III</t>
  </si>
  <si>
    <t>1604 Petal Ct</t>
  </si>
  <si>
    <t>Argyle</t>
  </si>
  <si>
    <t>aJAbyOYGPzrQEaxT</t>
  </si>
  <si>
    <t>pi_3Mkz7SKc9ZnUJQuy0t179aHf</t>
  </si>
  <si>
    <t>Kurt Kinslow</t>
  </si>
  <si>
    <t>9tebUFNIHqJqkF8p</t>
  </si>
  <si>
    <t>pi_3Mku3xKc9ZnUJQuy1gPj0XUf</t>
  </si>
  <si>
    <t>kelvin mclaurin</t>
  </si>
  <si>
    <t>7DCUDRnj6f66cnom</t>
  </si>
  <si>
    <t>pi_3MktyzKc9ZnUJQuy1kSMrXzm</t>
  </si>
  <si>
    <t>scott janovec</t>
  </si>
  <si>
    <t>pJO8jfgEXDETduFz</t>
  </si>
  <si>
    <t>pi_3MkXMpKc9ZnUJQuy14YUs1Vw</t>
  </si>
  <si>
    <t>Brad Curry</t>
  </si>
  <si>
    <t>1VBU67b0PCNX9OCr</t>
  </si>
  <si>
    <t>pi_3MkBTvKc9ZnUJQuy1SZH0AXL</t>
  </si>
  <si>
    <t>Ryan Young</t>
  </si>
  <si>
    <t>TIIRkK3pCINrsdIZ</t>
  </si>
  <si>
    <t>pi_3Mip3MKc9ZnUJQuy0bT49HEG</t>
  </si>
  <si>
    <t>COUPON</t>
  </si>
  <si>
    <t>EMAIL</t>
  </si>
  <si>
    <t>2023 Marketing Cost</t>
  </si>
  <si>
    <t> • Rotowire - $2500 (26 sign up using code ROTOWIRE, 10 using EMAIL)</t>
  </si>
  <si>
    <t>2023 Count</t>
  </si>
  <si>
    <t>2023 vs. 2022</t>
  </si>
  <si>
    <t>2023 vs. 2021</t>
  </si>
  <si>
    <t>Marketing Cost per User</t>
  </si>
  <si>
    <t> • LinkedIn/Social Media - no cost</t>
  </si>
  <si>
    <t>2024 SmartBracket</t>
  </si>
  <si>
    <t> • Rotowire - $2500 (10 sign up using code ROTOWIRE)</t>
  </si>
  <si>
    <t>Created date (UTC)</t>
  </si>
  <si>
    <t>Before Tournament?</t>
  </si>
  <si>
    <t>Coupon Code</t>
  </si>
  <si>
    <t>Fee Percent</t>
  </si>
  <si>
    <t>Customer Email (Masked)</t>
  </si>
  <si>
    <t>ch_3OwnZ4Kc9ZnUJQuy1mfilHRO</t>
  </si>
  <si>
    <t>cus_PmMKSgOX39Eqj6</t>
  </si>
  <si>
    <t>ch_3OwmjPKc9ZnUJQuy0yLo7PDW</t>
  </si>
  <si>
    <t>YSVSvhGBGKsvbFpb</t>
  </si>
  <si>
    <t>cus_PmLRmSPxpMNatb</t>
  </si>
  <si>
    <t>rklapach88@gmail.com</t>
  </si>
  <si>
    <t>ch_3Owm3PKc9ZnUJQuy0ikdyTXP</t>
  </si>
  <si>
    <t>JRjUuxy13pMOe42p</t>
  </si>
  <si>
    <t>cus_PmKjkqAwvK5VZ7</t>
  </si>
  <si>
    <t>mjwilman@hotmail.com</t>
  </si>
  <si>
    <t>ch_3Owm09Kc9ZnUJQuy1kDTHDFP</t>
  </si>
  <si>
    <t>1ZRXoRTu0fVmuW5Z</t>
  </si>
  <si>
    <t>cus_PmKhSLEy9GkJyR</t>
  </si>
  <si>
    <t>madhuranderson@hotmail.com</t>
  </si>
  <si>
    <t>ch_3OwlGPKc9ZnUJQuy1Uv8ka2O</t>
  </si>
  <si>
    <t>EYfDcsVvXpCpIUi8</t>
  </si>
  <si>
    <t>cus_PmJvc2modfA9bh</t>
  </si>
  <si>
    <t>jeff+smartbracket@hailer.us</t>
  </si>
  <si>
    <t>ch_3OwkwnKc9ZnUJQuy1Impis0s</t>
  </si>
  <si>
    <t xml:space="preserve">East Lansing </t>
  </si>
  <si>
    <t>IzzJFXMsi7oA3O8h</t>
  </si>
  <si>
    <t>cus_PmJeA6a7y81otA</t>
  </si>
  <si>
    <t>mohra324@gmail.com</t>
  </si>
  <si>
    <t>ch_3OwksVKc9ZnUJQuy0Mc21rag</t>
  </si>
  <si>
    <t>TEPnX05oHwext7mG</t>
  </si>
  <si>
    <t>cus_PmJV3FrH69fs1b</t>
  </si>
  <si>
    <t>ch_3OwjmRKc9ZnUJQuy0wMvktF8</t>
  </si>
  <si>
    <t>Shillington</t>
  </si>
  <si>
    <t>vqEp0fo10woWlwEn</t>
  </si>
  <si>
    <t>cus_PmIN2dS5N2fdOb</t>
  </si>
  <si>
    <t>mikem0011@gmail.com</t>
  </si>
  <si>
    <t>ch_3Owj9uKc9ZnUJQuy0wM2tBx5</t>
  </si>
  <si>
    <t>Vienna</t>
  </si>
  <si>
    <t>VA</t>
  </si>
  <si>
    <t>2yuH89g7OVQQJTqC</t>
  </si>
  <si>
    <t>cus_PmHjNuwmAIzQvy</t>
  </si>
  <si>
    <t>vscott.fisher@gmail.com</t>
  </si>
  <si>
    <t>ch_3OwcyQKc9ZnUJQuy1owQICV4</t>
  </si>
  <si>
    <t>Mount Pleasant</t>
  </si>
  <si>
    <t>t5SExMom9JlODqcc</t>
  </si>
  <si>
    <t>cus_PmBM9Y4OW1KNJr</t>
  </si>
  <si>
    <t>lucasknox2000@gmail.com</t>
  </si>
  <si>
    <t>ch_3Owcv4Kc9ZnUJQuy0WEETCX2</t>
  </si>
  <si>
    <t>Miami</t>
  </si>
  <si>
    <t>RGjuPb5pgT0Ahgey</t>
  </si>
  <si>
    <t>cus_PmBI97UyMX8oHV</t>
  </si>
  <si>
    <t>nightsphantom@gmail.com</t>
  </si>
  <si>
    <t>ch_3OwcUlKc9ZnUJQuy05ORsmGH</t>
  </si>
  <si>
    <t>link</t>
  </si>
  <si>
    <t>cus_PmAqPagxnQF1b3</t>
  </si>
  <si>
    <t>ch_3OwbmbKc9ZnUJQuy0VHOvlfc</t>
  </si>
  <si>
    <t>p9SNEieDOyp1EK3H</t>
  </si>
  <si>
    <t>cus_PmA7czcmQheFLu</t>
  </si>
  <si>
    <t>aahabas20@gmail.com</t>
  </si>
  <si>
    <t>ch_3OwbWnKc9ZnUJQuy0tfgXK8L</t>
  </si>
  <si>
    <t>1eU71yJ3opZJneWT</t>
  </si>
  <si>
    <t>cus_Pm9rGqridtR5PX</t>
  </si>
  <si>
    <t>adam.pasker@gmail.com</t>
  </si>
  <si>
    <t>ch_3OwaaVKc9ZnUJQuy1Lme2i1e</t>
  </si>
  <si>
    <t>AMDpUwlT8QHtDVdP</t>
  </si>
  <si>
    <t>cus_Pm8uJPaAfw7L6g</t>
  </si>
  <si>
    <t>mrellison42@gmail.com</t>
  </si>
  <si>
    <t>ch_3OwaLVKc9ZnUJQuy0glBwty3</t>
  </si>
  <si>
    <t>THgGvNjBMKha72Ny</t>
  </si>
  <si>
    <t>cus_Pm8dno5BvKq4bV</t>
  </si>
  <si>
    <t>ch_3OwZwzKc9ZnUJQuy0gan3wu8</t>
  </si>
  <si>
    <t>South Bend</t>
  </si>
  <si>
    <t>cus_Pm8DKu5Nb5mttZ</t>
  </si>
  <si>
    <t>ch_3OwZoPKc9ZnUJQuy0mpwtiUW</t>
  </si>
  <si>
    <t>nfosM9Gm6hNzCXyK</t>
  </si>
  <si>
    <t>cus_Pm85P9rLnFLUda</t>
  </si>
  <si>
    <t>kenmp72@gmail.com</t>
  </si>
  <si>
    <t>ch_3OwZivKc9ZnUJQuy0gINEyDJ</t>
  </si>
  <si>
    <t>jPQReWzW6y4Q390M</t>
  </si>
  <si>
    <t>cus_Pm80kjVG8Vf0AS</t>
  </si>
  <si>
    <t>loftus5567@comcast.net</t>
  </si>
  <si>
    <t>ch_3OwZVVKc9ZnUJQuy1sxjo0dt</t>
  </si>
  <si>
    <t>WYDsMZeodDDRj0vB</t>
  </si>
  <si>
    <t>cus_Pm7oCBeK3sWcSS</t>
  </si>
  <si>
    <t>dmcooneyjr@comcast.net</t>
  </si>
  <si>
    <t>ch_3OwYanKc9ZnUJQuy1IFrvDcl</t>
  </si>
  <si>
    <t>cus_Pm6rZKY7Awouly</t>
  </si>
  <si>
    <t>ch_3OwXyEKc9ZnUJQuy1msVwt9z</t>
  </si>
  <si>
    <t>KQYpw9ecXfTiD5SY</t>
  </si>
  <si>
    <t>cus_Pm6BA4zykcFyQE</t>
  </si>
  <si>
    <t>garenkoutoujian@icloud.com</t>
  </si>
  <si>
    <t>ch_3OwWVjKc9ZnUJQuy1sCHWghS</t>
  </si>
  <si>
    <t>VMIDMMVD0QHsj6Fa</t>
  </si>
  <si>
    <t>cus_Pm4iETqK1OlV5b</t>
  </si>
  <si>
    <t>janthony@atlanticbb.net</t>
  </si>
  <si>
    <t>ch_3OwW2LKc9ZnUJQuy1FexpZVS</t>
  </si>
  <si>
    <t>WNEku6v3sIjYmJ3U</t>
  </si>
  <si>
    <t>cus_Pm4Co4WMrxwHCI</t>
  </si>
  <si>
    <t>raybohr1960@gmail.com</t>
  </si>
  <si>
    <t>ch_3OwVeGKc9ZnUJQuy1YSJQBDj</t>
  </si>
  <si>
    <t xml:space="preserve">Pasadena </t>
  </si>
  <si>
    <t>gqXu2kQoJ0TUhYNi</t>
  </si>
  <si>
    <t>cus_Pm3mG8jrtH6o2y</t>
  </si>
  <si>
    <t>rdc@rdclearylaw.com</t>
  </si>
  <si>
    <t>ch_3OwVNdKc9ZnUJQuy1bAoCTZX</t>
  </si>
  <si>
    <t>Crofton</t>
  </si>
  <si>
    <t>MD</t>
  </si>
  <si>
    <t>CZMEMhJK5cwFgdpv</t>
  </si>
  <si>
    <t>cus_Pm3VEZ5gMUI8FN</t>
  </si>
  <si>
    <t>don.pollitt@gmail.com</t>
  </si>
  <si>
    <t>ch_3OwUNFKc9ZnUJQuy17XR1XcN</t>
  </si>
  <si>
    <t>Sherman Oaks</t>
  </si>
  <si>
    <t>XPEaaiIgJPVcWlXj</t>
  </si>
  <si>
    <t>cus_Pm2SOZCQcE5c3i</t>
  </si>
  <si>
    <t>knickgilman@gmail.com</t>
  </si>
  <si>
    <t>ch_3OwTVnKc9ZnUJQuy0I4C8pTx</t>
  </si>
  <si>
    <t>bbdMIKht2eetUhnh</t>
  </si>
  <si>
    <t>cus_Pm1ZKx8Su90StG</t>
  </si>
  <si>
    <t>ch_3OwSK0Kc9ZnUJQuy1gLcO6lD</t>
  </si>
  <si>
    <t>6xyk4mrFSnWHhZNx</t>
  </si>
  <si>
    <t>cus_Pm0LU6Ixxm42K0</t>
  </si>
  <si>
    <t>danboismier@yahoo.com</t>
  </si>
  <si>
    <t>ch_3OwR1jKc9ZnUJQuy1Sff4Ehx</t>
  </si>
  <si>
    <t>dkvFMx3JrVGvb3qo</t>
  </si>
  <si>
    <t>cus_Plz04K8wwqi4ZT</t>
  </si>
  <si>
    <t>brex@email.arizona.edu</t>
  </si>
  <si>
    <t>ch_3OwQX0Kc9ZnUJQuy1oTga71q</t>
  </si>
  <si>
    <t xml:space="preserve">Medina </t>
  </si>
  <si>
    <t>SYR9JTwXWinEpslU</t>
  </si>
  <si>
    <t>cus_PlyUZs9XszMeTl</t>
  </si>
  <si>
    <t>koala-ironies.0o@icloud.com</t>
  </si>
  <si>
    <t>ch_3OwQUgKc9ZnUJQuy0Qeh3H6L</t>
  </si>
  <si>
    <t>Kingwood</t>
  </si>
  <si>
    <t>WrmueWqnglFhxEVd</t>
  </si>
  <si>
    <t>cus_PlyRSaMej8FL6E</t>
  </si>
  <si>
    <t>rlindseyjr24@aol.com</t>
  </si>
  <si>
    <t>ch_3OwPZVKc9ZnUJQuy0SDjkVSW</t>
  </si>
  <si>
    <t>Nolensville</t>
  </si>
  <si>
    <t>TN</t>
  </si>
  <si>
    <t>Pa1fxXdIR3J6nX8b</t>
  </si>
  <si>
    <t>google_pay</t>
  </si>
  <si>
    <t>cus_PlxU3Ax0JpOwb3</t>
  </si>
  <si>
    <t>mjenphillips@yahoo.com</t>
  </si>
  <si>
    <t>ch_3OwP5lKc9ZnUJQuy0MUIhLrE</t>
  </si>
  <si>
    <t>cus_Plx0TmGOsH2fnt</t>
  </si>
  <si>
    <t>ch_3OwN22Kc9ZnUJQuy0Fw5R9vK</t>
  </si>
  <si>
    <t>tp8KlGKJ9uON0Fi5</t>
  </si>
  <si>
    <t>cus_PlusqaoRefZCPu</t>
  </si>
  <si>
    <t>lwmilne@aol.com</t>
  </si>
  <si>
    <t>ch_3OwIJdKc9ZnUJQuy0l8So1Es</t>
  </si>
  <si>
    <t>Saskatoon</t>
  </si>
  <si>
    <t>SK</t>
  </si>
  <si>
    <t>S7J2R9</t>
  </si>
  <si>
    <t>LTRRwHz4EmUHgTkG</t>
  </si>
  <si>
    <t>cus_Plq0CzEjlgWVwD</t>
  </si>
  <si>
    <t>ch_3OwGZGKc9ZnUJQuy0XZnhUsD</t>
  </si>
  <si>
    <t>Reno</t>
  </si>
  <si>
    <t>NV</t>
  </si>
  <si>
    <t>SWzOfqgqcKYndzMg</t>
  </si>
  <si>
    <t>cus_PloC7koC44wnIv</t>
  </si>
  <si>
    <t>theskepticaleye@yahoo.com</t>
  </si>
  <si>
    <t>ch_3OwFniKc9ZnUJQuy0zUv5eRB</t>
  </si>
  <si>
    <t>z3DmUO8s6xfoYT3R</t>
  </si>
  <si>
    <t>cus_PlnO94sAukvXwI</t>
  </si>
  <si>
    <t>ajmicun@gmail.com</t>
  </si>
  <si>
    <t>ch_3OwFg4Kc9ZnUJQuy0nn6hVdV</t>
  </si>
  <si>
    <t>gVVAfxT5J0FX4yAU</t>
  </si>
  <si>
    <t>cus_PlnH1rPmyLfioH</t>
  </si>
  <si>
    <t>jdolan115@yahoo.com</t>
  </si>
  <si>
    <t>ch_3OwFVQKc9ZnUJQuy0kmT06Yp</t>
  </si>
  <si>
    <t>Arlington</t>
  </si>
  <si>
    <t>cus_Pln689GOztLLMH</t>
  </si>
  <si>
    <t>ch_3OwEbMKc9ZnUJQuy1QT26Rtg</t>
  </si>
  <si>
    <t>1myS8R5QwT39pdzp</t>
  </si>
  <si>
    <t>cus_PlmALedUXGrrE5</t>
  </si>
  <si>
    <t>ch_3OwEWUKc9ZnUJQuy1qM0s6Fq</t>
  </si>
  <si>
    <t>cus_Plm5xxEDdR6DqD</t>
  </si>
  <si>
    <t>ch_3OwDubKc9ZnUJQuy0mplDnVl</t>
  </si>
  <si>
    <t>29483-5632</t>
  </si>
  <si>
    <t>1VP5mLkh3IWWtd2g</t>
  </si>
  <si>
    <t>cus_PllS1SlPDFZmkl</t>
  </si>
  <si>
    <t>m.crusinberry@gmail.com</t>
  </si>
  <si>
    <t>ch_3OwDpPKc9ZnUJQuy1AiZSF2X</t>
  </si>
  <si>
    <t>Palm Beach gardens</t>
  </si>
  <si>
    <t>OFVG0iboVpKuB1Ua</t>
  </si>
  <si>
    <t>cus_PllMrzLcYGrDlg</t>
  </si>
  <si>
    <t>murphyoc@gmail.com</t>
  </si>
  <si>
    <t>ch_3OwDkjKc9ZnUJQuy0PJTMkay</t>
  </si>
  <si>
    <t>eTgi5bzG6yV4AmwV</t>
  </si>
  <si>
    <t>cus_PllHYz3xTKQCvM</t>
  </si>
  <si>
    <t>tmatt400@aol.com</t>
  </si>
  <si>
    <t>ch_3OwDTTKc9ZnUJQuy0CMRZepN</t>
  </si>
  <si>
    <t>unavailable</t>
  </si>
  <si>
    <t>BGR1NdsG7XotjDMy</t>
  </si>
  <si>
    <t>cus_Pll1DsSUD2LIkt</t>
  </si>
  <si>
    <t>treycook151@yahoo.com</t>
  </si>
  <si>
    <t>ch_3OwDQoKc9ZnUJQuy1e951vKr</t>
  </si>
  <si>
    <t>cus_PlkxAbwEQZ1KDf</t>
  </si>
  <si>
    <t>ch_3OwCXkKc9ZnUJQuy1xZeOqs1</t>
  </si>
  <si>
    <t>Creve Coeur</t>
  </si>
  <si>
    <t>MO</t>
  </si>
  <si>
    <t>qBZd8mw12dtRG9q3</t>
  </si>
  <si>
    <t>cus_Plk2uqf2xZQtyy</t>
  </si>
  <si>
    <t>newmia19@alumni.wfu.edu</t>
  </si>
  <si>
    <t>ch_3OwCJEKc9ZnUJQuy0EDfAkkp</t>
  </si>
  <si>
    <t>Anderson</t>
  </si>
  <si>
    <t>SC</t>
  </si>
  <si>
    <t>AUFFWmmcYGMs867E</t>
  </si>
  <si>
    <t>cus_PljnRjlNBRVNx1</t>
  </si>
  <si>
    <t>iceman1272@charter.net</t>
  </si>
  <si>
    <t>ch_3OwBkUKc9ZnUJQuy1BdlGNLI</t>
  </si>
  <si>
    <t>eGMPuzaSt7rkA7J1</t>
  </si>
  <si>
    <t>cus_PljEMYVeT3dxld</t>
  </si>
  <si>
    <t>ch_3OwBXKKc9ZnUJQuy1bvJnp29</t>
  </si>
  <si>
    <t>Madison Lake</t>
  </si>
  <si>
    <t>56063-1500</t>
  </si>
  <si>
    <t>ET5pWK27Eak7tY3R</t>
  </si>
  <si>
    <t>cus_PlizYoBuuOOSzC</t>
  </si>
  <si>
    <t>mikehaley24@icloud.com</t>
  </si>
  <si>
    <t>ch_3OwBOIKc9ZnUJQuy133gM8uM</t>
  </si>
  <si>
    <t>twksEOlnRKtu6PC3</t>
  </si>
  <si>
    <t>cus_Plisg2Fr9bwu8L</t>
  </si>
  <si>
    <t>mcphes@hotmail.com</t>
  </si>
  <si>
    <t>ch_3OwB1ZKc9ZnUJQuy0ZeYPyIH</t>
  </si>
  <si>
    <t>CgLqqKQHaDjX643G</t>
  </si>
  <si>
    <t>cus_PliTbyXigDhOub</t>
  </si>
  <si>
    <t>ch_3OwAxpKc9ZnUJQuy0gofq0NL</t>
  </si>
  <si>
    <t>25C3GW2xkP8Adso6</t>
  </si>
  <si>
    <t>cus_PliOQJyVnRYYth</t>
  </si>
  <si>
    <t>scottslimmons@gmail.com</t>
  </si>
  <si>
    <t>ch_3OwAKPKc9ZnUJQuy05bgpBtY</t>
  </si>
  <si>
    <t>7VijAEMVUhKm7Tco</t>
  </si>
  <si>
    <t>cus_Plhkf7LHiG5rFG</t>
  </si>
  <si>
    <t>f6kxcsjcz@mozmail.com</t>
  </si>
  <si>
    <t>ch_3OwA8tKc9ZnUJQuy0ZvvKHRp</t>
  </si>
  <si>
    <t>IoItc69bGLDGVmQ9</t>
  </si>
  <si>
    <t>cus_PlhZNZcjXJyz5K</t>
  </si>
  <si>
    <t>jdsuhanic@gmail.com</t>
  </si>
  <si>
    <t>ch_3OwA4VKc9ZnUJQuy1XN77Ted</t>
  </si>
  <si>
    <t>LT7wSyBWyzWHGO02</t>
  </si>
  <si>
    <t>cus_PlhVYwVQDAmSFu</t>
  </si>
  <si>
    <t>ch_3Ow9kOKc9ZnUJQuy0J08mY8s</t>
  </si>
  <si>
    <t>3RWfDp6DRkmROpw1</t>
  </si>
  <si>
    <t>cus_PlhAE3J5I9Sx5s</t>
  </si>
  <si>
    <t>marty.calcagno@yahoo.com</t>
  </si>
  <si>
    <t>ch_3Ow9hxKc9ZnUJQuy1pRNZ0Pr</t>
  </si>
  <si>
    <t>jjjqJFDEiDuGnk6W</t>
  </si>
  <si>
    <t>cus_Plh7qhofm77YCf</t>
  </si>
  <si>
    <t>d1@all-of-grace.org</t>
  </si>
  <si>
    <t>ch_3Ow9fdKc9ZnUJQuy0yRh4W2Q</t>
  </si>
  <si>
    <t>cus_Plh4yiJmTfBCTD</t>
  </si>
  <si>
    <t>ch_3Ow9cCKc9ZnUJQuy08GGOVmc</t>
  </si>
  <si>
    <t>97068-2603</t>
  </si>
  <si>
    <t>LNYUB3CurgghV90h</t>
  </si>
  <si>
    <t>cus_Plh1S1qmVCSehp</t>
  </si>
  <si>
    <t>markflood@comcast.net</t>
  </si>
  <si>
    <t>ch_3Ow9WQKc9ZnUJQuy0cI7RHaK</t>
  </si>
  <si>
    <t>Raleigh</t>
  </si>
  <si>
    <t>SymmYbA21RnXwtHA</t>
  </si>
  <si>
    <t>cus_Plgvi9JjUQkOSd</t>
  </si>
  <si>
    <t>ch_3Ow9SDKc9ZnUJQuy0PZ6DOlt</t>
  </si>
  <si>
    <t>Somers Point</t>
  </si>
  <si>
    <t>NJ</t>
  </si>
  <si>
    <t>08244-1324</t>
  </si>
  <si>
    <t>ekarRmjYlq7aa3aC</t>
  </si>
  <si>
    <t>cus_PlgqkPA5miPPdF</t>
  </si>
  <si>
    <t>bstnb@aol.com</t>
  </si>
  <si>
    <t>ch_3Ow8XlKc9ZnUJQuy1I6Vr2Gf</t>
  </si>
  <si>
    <t>0OwF5ftTYsr8qwDS</t>
  </si>
  <si>
    <t>cus_PlfvkUy7Ikp89q</t>
  </si>
  <si>
    <t>sbcarl@live.com</t>
  </si>
  <si>
    <t>ch_3Ow8X0Kc9ZnUJQuy1NgqvvAt</t>
  </si>
  <si>
    <t>7rJsBkAJWRTSBr8O</t>
  </si>
  <si>
    <t>cus_PlfuzDLEcWySbo</t>
  </si>
  <si>
    <t>billsimpsonjr@gmail.com</t>
  </si>
  <si>
    <t>ch_3Ow8YWKc9ZnUJQuy1GpMaEKv</t>
  </si>
  <si>
    <t>Detroit</t>
  </si>
  <si>
    <t>ZMoHE2DVWqkMS8Rv</t>
  </si>
  <si>
    <t>cus_PlfukAjAf2rOW9</t>
  </si>
  <si>
    <t>andrew.dold@gmail.com</t>
  </si>
  <si>
    <t>ch_3Ow8EgKc9ZnUJQuy0UJ5LrlQ</t>
  </si>
  <si>
    <t>Thousand Oaks</t>
  </si>
  <si>
    <t>RvpA9GktXhi2OlV6</t>
  </si>
  <si>
    <t>cus_PlfaG0SfVkaafM</t>
  </si>
  <si>
    <t>jimbernard23@gmail.com</t>
  </si>
  <si>
    <t>ch_3Ow86zKc9ZnUJQuy0Ob9cOQR</t>
  </si>
  <si>
    <t>q138LWS18lHLGzCp</t>
  </si>
  <si>
    <t>cus_PlfSdVQTy3ndyF</t>
  </si>
  <si>
    <t>rdsmdterps@aol.com</t>
  </si>
  <si>
    <t>ch_3Ow83vKc9ZnUJQuy0eWc0vEL</t>
  </si>
  <si>
    <t>Dqz97kZl4yiCpVQ2</t>
  </si>
  <si>
    <t>cus_PlfPtJtkaym11k</t>
  </si>
  <si>
    <t>cchcogr@yahoo.com</t>
  </si>
  <si>
    <t>ch_3Ow7zrKc9ZnUJQuy1fyQ4R7S</t>
  </si>
  <si>
    <t>Atlanta</t>
  </si>
  <si>
    <t>GA</t>
  </si>
  <si>
    <t>o6uz1h7SZPIixln2</t>
  </si>
  <si>
    <t>cus_PlfK6E5w09mYln</t>
  </si>
  <si>
    <t>ccoveney@mindspring.com</t>
  </si>
  <si>
    <t>ch_3Ow7vsKc9ZnUJQuy1AP3nShF</t>
  </si>
  <si>
    <t>2tqAdJApuxN4sSHM</t>
  </si>
  <si>
    <t>cus_PlfJeIhazX3WYh</t>
  </si>
  <si>
    <t>evanberger2@gmail.com</t>
  </si>
  <si>
    <t>ch_3Ow7dfKc9ZnUJQuy1NP3CEE5</t>
  </si>
  <si>
    <t>GPxrXa4ryAdMlvbR</t>
  </si>
  <si>
    <t>cus_PlfCOkdASIYN3G</t>
  </si>
  <si>
    <t>myron.jefferson@gmail.com</t>
  </si>
  <si>
    <t>ch_3Ow7pUKc9ZnUJQuy075SYjp0</t>
  </si>
  <si>
    <t>cus_PlfAsJvDUw4C61</t>
  </si>
  <si>
    <t>ch_3Ow7bKKc9ZnUJQuy0Jt85U4j</t>
  </si>
  <si>
    <t>vELpgRJwFYF85CcB</t>
  </si>
  <si>
    <t>cus_PlewS7iMuol4Gu</t>
  </si>
  <si>
    <t>kevin-carter09@live.com</t>
  </si>
  <si>
    <t>ch_3Ow7OqKc9ZnUJQuy08oMQihK</t>
  </si>
  <si>
    <t>Cedar Park</t>
  </si>
  <si>
    <t>Ragug2RfHbyKOllY</t>
  </si>
  <si>
    <t>cus_Plei0TcmtHsF6K</t>
  </si>
  <si>
    <t>ksommer44@yahoo.com</t>
  </si>
  <si>
    <t>ch_3Ow7G1Kc9ZnUJQuy1220NYSz</t>
  </si>
  <si>
    <t>g6uzpP4kUzqigPaV</t>
  </si>
  <si>
    <t>cus_Plee7JUFq6nP3c</t>
  </si>
  <si>
    <t>tra1975hio@gmail.com</t>
  </si>
  <si>
    <t>ch_3Ow7F3Kc9ZnUJQuy1B3ecuw0</t>
  </si>
  <si>
    <t>Chalandri</t>
  </si>
  <si>
    <t>GR</t>
  </si>
  <si>
    <t>zPen5phNkpRl4M68</t>
  </si>
  <si>
    <t>cus_PleZSjOzF3gqTQ</t>
  </si>
  <si>
    <t>b.kapatsoulias@gmail.com</t>
  </si>
  <si>
    <t>ch_3Ow7FNKc9ZnUJQuy1r3cdboU</t>
  </si>
  <si>
    <t>cus_PleYlaBVSQuGeJ</t>
  </si>
  <si>
    <t>ch_3Ow741Kc9ZnUJQuy0lW0JsNm</t>
  </si>
  <si>
    <t>2U48w3GySd0HpcVi</t>
  </si>
  <si>
    <t>cus_PleRCoQqehFRAF</t>
  </si>
  <si>
    <t>stevebilski@sbcglobal.net</t>
  </si>
  <si>
    <t>ch_3Ow6yMKc9ZnUJQuy1nIgODqr</t>
  </si>
  <si>
    <t>UOu8Fg1pR40aDWvG</t>
  </si>
  <si>
    <t>cus_PleHfrefoxKTnl</t>
  </si>
  <si>
    <t>sean.wagner33@gmail.com</t>
  </si>
  <si>
    <t>ch_3Ow6gYKc9ZnUJQuy0Gd8LXIg</t>
  </si>
  <si>
    <t>DyZRGuqYdiLOMrma</t>
  </si>
  <si>
    <t>cus_Pldywquzq3hp0k</t>
  </si>
  <si>
    <t>ives715@gmail.com</t>
  </si>
  <si>
    <t>ch_3Ow6fGKc9ZnUJQuy1ptHMszB</t>
  </si>
  <si>
    <t>XacM41Xbz43j4I9K</t>
  </si>
  <si>
    <t>cus_PldyAIJebmKz0X</t>
  </si>
  <si>
    <t>chrishorne15@gmail.com</t>
  </si>
  <si>
    <t>ch_3Ow6anKc9ZnUJQuy1ZDO8pNb</t>
  </si>
  <si>
    <t>5BhKpromU4bn6pq7</t>
  </si>
  <si>
    <t>cus_PldvwOB1hYZ1Jg</t>
  </si>
  <si>
    <t>folji59@gmail.com</t>
  </si>
  <si>
    <t>ch_3Ow6QSKc9ZnUJQuy0bwrJikZ</t>
  </si>
  <si>
    <t>K1W 1K7</t>
  </si>
  <si>
    <t>TpbyGMMyNkKwtayU</t>
  </si>
  <si>
    <t>cus_Pldi7VzYuWSPhv</t>
  </si>
  <si>
    <t>ronraymond@rogers.com</t>
  </si>
  <si>
    <t>ch_3Ow5WFKc9ZnUJQuy1pWew3dM</t>
  </si>
  <si>
    <t>cus_PlcnbIickFFDOd</t>
  </si>
  <si>
    <t>ch_3Ow3HdKc9ZnUJQuy0jzz7eGs</t>
  </si>
  <si>
    <t>cus_PlaSZKE7eMsVCt</t>
  </si>
  <si>
    <t>ch_3Ow2EtKc9ZnUJQuy1pl0y6IE</t>
  </si>
  <si>
    <t>FlmdG1gMcHh5hKSU</t>
  </si>
  <si>
    <t>cus_PlZO19oLlkCvQY</t>
  </si>
  <si>
    <t>mpavey96@gmail.com</t>
  </si>
  <si>
    <t>ch_3OvzoIKc9ZnUJQuy1M4fm8yq</t>
  </si>
  <si>
    <t>t8Elki3DZXVBi738</t>
  </si>
  <si>
    <t>cus_PlWs2wsvHKY4UX</t>
  </si>
  <si>
    <t>pabennett63@gmail.com</t>
  </si>
  <si>
    <t>ch_3OvrlrKc9ZnUJQuy0X5gLZbb</t>
  </si>
  <si>
    <t>BdbdHgY07iezou27</t>
  </si>
  <si>
    <t>cus_PlOeQAVp7qfizU</t>
  </si>
  <si>
    <t>jeff@kujath.com</t>
  </si>
  <si>
    <t>ch_3OvpquKc9ZnUJQuy0KbTVgOW</t>
  </si>
  <si>
    <t>Arvada</t>
  </si>
  <si>
    <t>CO</t>
  </si>
  <si>
    <t>hS8TTHwSzBezVsfy</t>
  </si>
  <si>
    <t>cus_PlMadDN02MhhTO</t>
  </si>
  <si>
    <t>tarr.adrian@gmail.com</t>
  </si>
  <si>
    <t>ch_3OvitsKc9ZnUJQuy1NrD0rZQ</t>
  </si>
  <si>
    <t>cus_PlFOzePY8fgRSi</t>
  </si>
  <si>
    <t>ch_3OviR5Kc9ZnUJQuy08l0e5HV</t>
  </si>
  <si>
    <t>zRjRNaInQb2KAKbM</t>
  </si>
  <si>
    <t>cus_PlEvh7ZrqzDuqK</t>
  </si>
  <si>
    <t>ch_3OviDnKc9ZnUJQuy1U69PqWH</t>
  </si>
  <si>
    <t>Salinas</t>
  </si>
  <si>
    <t>SKoglfpBjnlDTrfo</t>
  </si>
  <si>
    <t>cus_PlEhWGepsFUKs0</t>
  </si>
  <si>
    <t>crisrury@yahoo.com</t>
  </si>
  <si>
    <t>ch_3OvhLwKc9ZnUJQuy1mGraQxZ</t>
  </si>
  <si>
    <t>6ggUngVeHxU6dXXx</t>
  </si>
  <si>
    <t>cus_PlDotFcFRkW2tA</t>
  </si>
  <si>
    <t>askautzer@gmail.com</t>
  </si>
  <si>
    <t>ch_3Ovgb5Kc9ZnUJQuy0lWLH7WM</t>
  </si>
  <si>
    <t>Naperville</t>
  </si>
  <si>
    <t>X1YTF4Y4cOOaxmCX</t>
  </si>
  <si>
    <t>cus_PlD1xT4TxJxjtA</t>
  </si>
  <si>
    <t>jollyrods@gmail.com</t>
  </si>
  <si>
    <t>ch_3OvXiHKc9ZnUJQuy1hXcFsvh</t>
  </si>
  <si>
    <t>Y37MlOcdlaQdMpg9</t>
  </si>
  <si>
    <t>cus_Pl3qh6EuGIePIx</t>
  </si>
  <si>
    <t>ch_3OvWKbKc9ZnUJQuy0cjT3Ssj</t>
  </si>
  <si>
    <t>zuUTSnCReGbBrub7</t>
  </si>
  <si>
    <t>cus_Pl2Qc51S1E1wsC</t>
  </si>
  <si>
    <t>cathomas298@gmail.com</t>
  </si>
  <si>
    <t>ch_3OvVu0Kc9ZnUJQuy0JZug3Eh</t>
  </si>
  <si>
    <t>cus_Pl1y0p0XMCTzSw</t>
  </si>
  <si>
    <t>ch_3OvUlzKc9ZnUJQuy1dq9TibU</t>
  </si>
  <si>
    <t>BWfSp6NWqwpQ8SGQ</t>
  </si>
  <si>
    <t>cus_Pl0pceXqvOsB0R</t>
  </si>
  <si>
    <t>ch_3OvTc7Kc9ZnUJQuy1be8QUix</t>
  </si>
  <si>
    <t>Grand Rapids</t>
  </si>
  <si>
    <t>Qj7YV96z1jUUGn1B</t>
  </si>
  <si>
    <t>cus_PkzbXg5SaB50EF</t>
  </si>
  <si>
    <t>dewindj@gmail.com</t>
  </si>
  <si>
    <t>ch_3OvRRlKc9ZnUJQuy1TmMmHR7</t>
  </si>
  <si>
    <t>6DJTVNXGv43XZwJ1</t>
  </si>
  <si>
    <t>cus_PkxPsL3VSOYg4A</t>
  </si>
  <si>
    <t>denzil.hd@gmail.com</t>
  </si>
  <si>
    <t>ch_3Ov7TxKc9ZnUJQuy0yN7AbhY</t>
  </si>
  <si>
    <t>Xgkx4ZkKusOtJzep</t>
  </si>
  <si>
    <t>cus_PkckilxWsnKmbp</t>
  </si>
  <si>
    <t>tstordy@gmail.com</t>
  </si>
  <si>
    <t>ch_3OuPyaKc9ZnUJQuy1GZEHh9D</t>
  </si>
  <si>
    <t>Williamston</t>
  </si>
  <si>
    <t>UYWMAcKXKzXpTbuM</t>
  </si>
  <si>
    <t>cus_PjtmcPLWcE6nj9</t>
  </si>
  <si>
    <t>benwdunn@gmail.com</t>
  </si>
  <si>
    <t>ch_3OuEgyKc9ZnUJQuy0lWBO9ej</t>
  </si>
  <si>
    <t>gwVRsObLqhIGNV1E</t>
  </si>
  <si>
    <t>cus_Pji8xZgUMHtHpU</t>
  </si>
  <si>
    <t>summit.mitch@yahoo.com</t>
  </si>
  <si>
    <t>ch_3Ou2jpKc9ZnUJQuy1M4MbdKL</t>
  </si>
  <si>
    <t>b9MdYQ9WAW5R0YKA</t>
  </si>
  <si>
    <t>cus_PjVmdiEY3MjmWt</t>
  </si>
  <si>
    <t>dan@dangerstein.com</t>
  </si>
  <si>
    <t>ch_3Ou2VhKc9ZnUJQuy1SY199vz</t>
  </si>
  <si>
    <t>hLwwjANAvuBHfHWN</t>
  </si>
  <si>
    <t>cus_PjVZMMoDzOkX5D</t>
  </si>
  <si>
    <t>howiemc4@gmail.com</t>
  </si>
  <si>
    <t>ch_3OtGHzKc9ZnUJQuy0u0JNL3y</t>
  </si>
  <si>
    <t>Brooklyn</t>
  </si>
  <si>
    <t>RmyGvlIBWGiIlMj3</t>
  </si>
  <si>
    <t>cus_Pihhml37JyOoee</t>
  </si>
  <si>
    <t>sineadtrautman@gmail.com</t>
  </si>
  <si>
    <t>ch_3OqJsBKc9ZnUJQuy1ZfsKunb</t>
  </si>
  <si>
    <t>39MBn088TF63JyaI</t>
  </si>
  <si>
    <t>cus_PffDeDqyOAlR5v</t>
  </si>
  <si>
    <t>dave@gardenfish.net</t>
  </si>
  <si>
    <t>ch_3OoEWwKc9ZnUJQuy1arMHDb8</t>
  </si>
  <si>
    <t>bcbIsnWuuQNclGAx</t>
  </si>
  <si>
    <t>cus_PdVY0fTBTSMO69</t>
  </si>
  <si>
    <t>james@doyle.ninja</t>
  </si>
  <si>
    <t>Before Tournament Update?</t>
  </si>
  <si>
    <t>Card Type</t>
  </si>
  <si>
    <t>ch_3R4lHxKc9ZnUJQuy1snCqR3z</t>
  </si>
  <si>
    <t>Lake Lotawana</t>
  </si>
  <si>
    <t>r******g@gmail.com</t>
  </si>
  <si>
    <t>ch_3R4lFuKc9ZnUJQuy12KNSEn1</t>
  </si>
  <si>
    <t>LINKEDIN10</t>
  </si>
  <si>
    <t>n*****1@gmail.com</t>
  </si>
  <si>
    <t>ch_3R4l4WKc9ZnUJQuy1SS76eAs</t>
  </si>
  <si>
    <t>m***********1@gmail.com</t>
  </si>
  <si>
    <t>ch_3R4jDgKc9ZnUJQuy1TIuf2sy</t>
  </si>
  <si>
    <t>h*******0@verizon.net</t>
  </si>
  <si>
    <t>ch_3R4hYgKc9ZnUJQuy0vHrmaHo</t>
  </si>
  <si>
    <t>f*********1@gmail.com</t>
  </si>
  <si>
    <t>ch_3R4fXrKc9ZnUJQuy1tWC54EO</t>
  </si>
  <si>
    <t>Birmingham</t>
  </si>
  <si>
    <t>AL</t>
  </si>
  <si>
    <t>j*******1@gmail.com</t>
  </si>
  <si>
    <t>ch_3R4VsTKc9ZnUJQuy1ajjlTwq</t>
  </si>
  <si>
    <t>j*******5@optonline.net</t>
  </si>
  <si>
    <t>ch_3R4UsCKc9ZnUJQuy1OvvKPM9</t>
  </si>
  <si>
    <t>Machesney Park</t>
  </si>
  <si>
    <t>61115-2901</t>
  </si>
  <si>
    <t>a********3@hotmail.com</t>
  </si>
  <si>
    <t>ch_3R4ULYKc9ZnUJQuy1dpZc4u8</t>
  </si>
  <si>
    <t>p*******n@andersoneconomicgroup.com</t>
  </si>
  <si>
    <t>ch_3R4TgdKc9ZnUJQuy1VNoRdRV</t>
  </si>
  <si>
    <t>ROADMAP</t>
  </si>
  <si>
    <t>Rockport</t>
  </si>
  <si>
    <t>01966</t>
  </si>
  <si>
    <t>l*********s@gmail.com</t>
  </si>
  <si>
    <t>ch_3R4SF0Kc9ZnUJQuy0wpbD1mR</t>
  </si>
  <si>
    <t>c**********d@att.net</t>
  </si>
  <si>
    <t>ch_3R4N2SKc9ZnUJQuy1ZbewkoO</t>
  </si>
  <si>
    <t>Grosse Pointe Park</t>
  </si>
  <si>
    <t>r******s@umich.edu</t>
  </si>
  <si>
    <t>ch_3R4EDCKc9ZnUJQuy1ZVzzJZ7</t>
  </si>
  <si>
    <t>m******4@gmail.com</t>
  </si>
  <si>
    <t>ch_3R4CgUKc9ZnUJQuy1Lrm8OVu</t>
  </si>
  <si>
    <t>Fresno</t>
  </si>
  <si>
    <t>d******s@gmail.com</t>
  </si>
  <si>
    <t>ch_3R4Bs4Kc9ZnUJQuy0e3B7wES</t>
  </si>
  <si>
    <t>t*******t@bellsouth.net</t>
  </si>
  <si>
    <t>ch_3R4BgDKc9ZnUJQuy16xFmkIw</t>
  </si>
  <si>
    <t>l***********0@gmail.com</t>
  </si>
  <si>
    <t>ch_3R4AhqKc9ZnUJQuy0qDHWe8b</t>
  </si>
  <si>
    <t>t******3@gmail.com</t>
  </si>
  <si>
    <t>ch_3R49HqKc9ZnUJQuy0dVsYct9</t>
  </si>
  <si>
    <t>Andover</t>
  </si>
  <si>
    <t>KS</t>
  </si>
  <si>
    <t>e********l@gmail.com</t>
  </si>
  <si>
    <t>ch_3R48vRKc9ZnUJQuy0uzC8IyP</t>
  </si>
  <si>
    <t>r*****r@gmail.com</t>
  </si>
  <si>
    <t>ch_3R47YUKc9ZnUJQuy0NRpvQvy</t>
  </si>
  <si>
    <t>r**********4@aol.com</t>
  </si>
  <si>
    <t>ch_3R45WVKc9ZnUJQuy0bN4JsL4</t>
  </si>
  <si>
    <t>j******6@gmail.com</t>
  </si>
  <si>
    <t>ch_3R45U7Kc9ZnUJQuy0m2YOp4d</t>
  </si>
  <si>
    <t>d******n@comcast.net</t>
  </si>
  <si>
    <t>ch_3R42u2Kc9ZnUJQuy0kLSUNaV</t>
  </si>
  <si>
    <t>Chicago</t>
  </si>
  <si>
    <t>d****************i@gmail.com</t>
  </si>
  <si>
    <t>ch_3R41daKc9ZnUJQuy1gcJWbf7</t>
  </si>
  <si>
    <t>49601-9686</t>
  </si>
  <si>
    <t>s**4@comcast.net</t>
  </si>
  <si>
    <t>ch_3R3n9tKc9ZnUJQuy1lqeKc4s</t>
  </si>
  <si>
    <t>d******y@gmail.com</t>
  </si>
  <si>
    <t>ch_3R3lvTKc9ZnUJQuy0J87qhSR</t>
  </si>
  <si>
    <t>m***********e@gmail.com</t>
  </si>
  <si>
    <t>ch_3R3kPRKc9ZnUJQuy19Pl36Ds</t>
  </si>
  <si>
    <t>m******i@gmail.com</t>
  </si>
  <si>
    <t>ch_3R3h9GKc9ZnUJQuy1K8v50OG</t>
  </si>
  <si>
    <t>t**********s@aol.com</t>
  </si>
  <si>
    <t>ch_3R3fyNKc9ZnUJQuy0HeYk78X</t>
  </si>
  <si>
    <t>m*******d@comcast.net</t>
  </si>
  <si>
    <t>ch_3R3fKLKc9ZnUJQuy08oznhDI</t>
  </si>
  <si>
    <t>k***********3@gmail.com</t>
  </si>
  <si>
    <t>ch_3R3ez9Kc9ZnUJQuy0zjxcIuS</t>
  </si>
  <si>
    <t>m***********s@hotmail.com</t>
  </si>
  <si>
    <t>ch_3R3eEZKc9ZnUJQuy0soyDBag</t>
  </si>
  <si>
    <t>j*********k@gmail.com</t>
  </si>
  <si>
    <t>ch_3R3aXyKc9ZnUJQuy16BHiVDm</t>
  </si>
  <si>
    <t>a********9@gmail.com</t>
  </si>
  <si>
    <t>ch_3R3ZMeKc9ZnUJQuy1I0qmobu</t>
  </si>
  <si>
    <t>a*********1@gmail.com</t>
  </si>
  <si>
    <t>ch_3R3SmkKc9ZnUJQuy1eR637n0</t>
  </si>
  <si>
    <t>c************g@gmail.com</t>
  </si>
  <si>
    <t>ch_3R3SBtKc9ZnUJQuy1UI3wvA9</t>
  </si>
  <si>
    <t>Beavercreek</t>
  </si>
  <si>
    <t>c*****************7@gmail.com</t>
  </si>
  <si>
    <t>ch_3R3Rj0Kc9ZnUJQuy1x9Ca6F9</t>
  </si>
  <si>
    <t>w********m@gmail.com</t>
  </si>
  <si>
    <t>ch_3R3R8mKc9ZnUJQuy0UqPdBDY</t>
  </si>
  <si>
    <t>r************8@gmail.com</t>
  </si>
  <si>
    <t>ch_3R38E0Kc9ZnUJQuy1fYXwnwI</t>
  </si>
  <si>
    <t>Kirkwood</t>
  </si>
  <si>
    <t>j*******2@gmail.com</t>
  </si>
  <si>
    <t>ch_3R2J31Kc9ZnUJQuy1hb4jzrn</t>
  </si>
  <si>
    <t>j************a@gmail.com</t>
  </si>
  <si>
    <t>ch_3R1r9KKc9ZnUJQuy0IvW2gbT</t>
  </si>
  <si>
    <t>Highlands Ranch</t>
  </si>
  <si>
    <t>m************a@gmail.com</t>
  </si>
  <si>
    <t>ch_3QyzgVKc9ZnUJQuy0yxRsfaW</t>
  </si>
  <si>
    <t>h*********k@gmail.com</t>
  </si>
  <si>
    <t>ch_3QuKN1Kc9ZnUJQuy1qnpuwd9</t>
  </si>
  <si>
    <t>i*****o@mail.gvsu.edu</t>
  </si>
  <si>
    <t>ch_3QuKDgKc9ZnUJQuy1GNMjQmO</t>
  </si>
  <si>
    <t>m*********3@gmail.com</t>
  </si>
  <si>
    <t>2024 Count</t>
  </si>
  <si>
    <t>2025 Count</t>
  </si>
  <si>
    <t> • MailChimp - 1 campaign (12 sign up using WELCOMEBACK)</t>
  </si>
  <si>
    <t>2025 SmartBracket</t>
  </si>
  <si>
    <t>2024 Marketing Cost</t>
  </si>
  <si>
    <t>2025 Marketing Cost</t>
  </si>
  <si>
    <t> • Dan's outreach to Roadmap and Operators Guild communities</t>
  </si>
  <si>
    <t> • Jesse - some creating collateral and interaction on Twitter/X, Facebook, and LinkedIn, paid for hours worked</t>
  </si>
  <si>
    <t> • Sinead - some limited social media outreach and creating collateral in Canva, paid for hours worked</t>
  </si>
  <si>
    <t> • Rotowire outreach - skipped this year</t>
  </si>
  <si>
    <t>2024 vs. 2023</t>
  </si>
  <si>
    <t>2025 vs. 2024</t>
  </si>
  <si>
    <t>2025 vs 2024 vs 2023 vs 2022 vs 2021 Comparison</t>
  </si>
  <si>
    <t> • MailChimp - 4 campaign emails (3 sign up using WELCOMEBACK)</t>
  </si>
  <si>
    <t> • MailChimp - 4 campaign emails (12 sign up using WELCOMEBACK)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</si>
</sst>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333333"/>
      <name val="Verdana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22" fontId="0" fillId="0" borderId="0" xfId="0" applyNumberFormat="1"/>
    <xf numFmtId="0" fontId="0" fillId="0" borderId="14" xfId="0" applyBorder="1"/>
    <xf numFmtId="0" fontId="19" fillId="0" borderId="0" xfId="0" applyFont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0" fontId="16" fillId="33" borderId="10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9" xfId="0" applyBorder="1" applyAlignment="1">
      <alignment horizontal="right"/>
    </xf>
    <xf numFmtId="0" fontId="0" fillId="0" borderId="22" xfId="0" applyBorder="1" applyAlignment="1">
      <alignment horizontal="right" wrapText="1"/>
    </xf>
    <xf numFmtId="0" fontId="0" fillId="0" borderId="23" xfId="0" applyBorder="1"/>
    <xf numFmtId="164" fontId="0" fillId="0" borderId="24" xfId="0" applyNumberFormat="1" applyBorder="1"/>
    <xf numFmtId="0" fontId="0" fillId="0" borderId="25" xfId="0" applyBorder="1"/>
    <xf numFmtId="164" fontId="0" fillId="0" borderId="26" xfId="0" applyNumberFormat="1" applyBorder="1"/>
    <xf numFmtId="0" fontId="0" fillId="0" borderId="18" xfId="0" applyBorder="1" applyAlignment="1">
      <alignment horizontal="right" wrapText="1"/>
    </xf>
    <xf numFmtId="164" fontId="0" fillId="0" borderId="23" xfId="0" applyNumberFormat="1" applyBorder="1"/>
    <xf numFmtId="0" fontId="16" fillId="33" borderId="22" xfId="0" applyFont="1" applyFill="1" applyBorder="1" applyAlignment="1">
      <alignment wrapText="1"/>
    </xf>
    <xf numFmtId="0" fontId="16" fillId="33" borderId="23" xfId="0" applyFont="1" applyFill="1" applyBorder="1" applyAlignment="1">
      <alignment wrapText="1"/>
    </xf>
    <xf numFmtId="0" fontId="16" fillId="33" borderId="21" xfId="0" applyFont="1" applyFill="1" applyBorder="1" applyAlignment="1">
      <alignment wrapText="1"/>
    </xf>
    <xf numFmtId="0" fontId="0" fillId="0" borderId="21" xfId="0" applyBorder="1"/>
    <xf numFmtId="0" fontId="0" fillId="0" borderId="11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0" fillId="0" borderId="28" xfId="0" applyBorder="1" applyAlignment="1">
      <alignment horizontal="left"/>
    </xf>
    <xf numFmtId="0" fontId="0" fillId="0" borderId="27" xfId="0" applyBorder="1"/>
    <xf numFmtId="0" fontId="0" fillId="0" borderId="29" xfId="0" pivotButton="1" applyBorder="1" applyAlignment="1">
      <alignment horizontal="left" wrapText="1"/>
    </xf>
    <xf numFmtId="0" fontId="0" fillId="0" borderId="30" xfId="0" applyBorder="1" applyAlignment="1">
      <alignment horizontal="right" wrapText="1"/>
    </xf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/>
    <xf numFmtId="164" fontId="0" fillId="0" borderId="22" xfId="0" applyNumberFormat="1" applyBorder="1"/>
    <xf numFmtId="0" fontId="18" fillId="0" borderId="31" xfId="0" applyFont="1" applyBorder="1" applyAlignment="1">
      <alignment horizontal="left"/>
    </xf>
    <xf numFmtId="0" fontId="0" fillId="0" borderId="10" xfId="0" pivotButton="1" applyBorder="1" applyAlignment="1">
      <alignment wrapText="1"/>
    </xf>
    <xf numFmtId="0" fontId="0" fillId="0" borderId="19" xfId="0" applyBorder="1" applyAlignment="1">
      <alignment horizontal="left"/>
    </xf>
    <xf numFmtId="0" fontId="18" fillId="0" borderId="19" xfId="0" applyFont="1" applyBorder="1" applyAlignment="1">
      <alignment horizontal="left"/>
    </xf>
    <xf numFmtId="0" fontId="0" fillId="0" borderId="20" xfId="0" applyBorder="1" applyAlignment="1">
      <alignment horizontal="left"/>
    </xf>
    <xf numFmtId="10" fontId="6" fillId="2" borderId="19" xfId="6" applyNumberFormat="1" applyBorder="1"/>
    <xf numFmtId="10" fontId="6" fillId="2" borderId="20" xfId="6" applyNumberFormat="1" applyBorder="1"/>
    <xf numFmtId="165" fontId="6" fillId="2" borderId="18" xfId="6" applyNumberFormat="1" applyBorder="1"/>
    <xf numFmtId="165" fontId="6" fillId="2" borderId="19" xfId="6" applyNumberFormat="1" applyBorder="1"/>
    <xf numFmtId="0" fontId="0" fillId="0" borderId="30" xfId="0" pivotButton="1" applyBorder="1" applyAlignment="1">
      <alignment horizontal="right" wrapText="1"/>
    </xf>
    <xf numFmtId="0" fontId="16" fillId="0" borderId="0" xfId="0" applyFont="1"/>
    <xf numFmtId="0" fontId="16" fillId="33" borderId="10" xfId="0" applyFont="1" applyFill="1" applyBorder="1"/>
    <xf numFmtId="164" fontId="20" fillId="34" borderId="10" xfId="0" applyNumberFormat="1" applyFont="1" applyFill="1" applyBorder="1"/>
    <xf numFmtId="0" fontId="16" fillId="33" borderId="37" xfId="0" applyFont="1" applyFill="1" applyBorder="1"/>
    <xf numFmtId="164" fontId="20" fillId="34" borderId="38" xfId="0" applyNumberFormat="1" applyFont="1" applyFill="1" applyBorder="1"/>
    <xf numFmtId="164" fontId="20" fillId="34" borderId="39" xfId="0" applyNumberFormat="1" applyFont="1" applyFill="1" applyBorder="1"/>
    <xf numFmtId="0" fontId="16" fillId="0" borderId="3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5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164" fontId="16" fillId="33" borderId="38" xfId="0" applyNumberFormat="1" applyFont="1" applyFill="1" applyBorder="1"/>
    <xf numFmtId="164" fontId="16" fillId="0" borderId="0" xfId="0" applyNumberFormat="1" applyFont="1"/>
    <xf numFmtId="0" fontId="16" fillId="0" borderId="36" xfId="0" applyFont="1" applyBorder="1" applyAlignment="1">
      <alignment horizontal="left"/>
    </xf>
    <xf numFmtId="44" fontId="21" fillId="0" borderId="38" xfId="0" applyNumberFormat="1" applyFont="1" applyBorder="1"/>
    <xf numFmtId="44" fontId="21" fillId="0" borderId="39" xfId="0" applyNumberFormat="1" applyFont="1" applyBorder="1"/>
    <xf numFmtId="44" fontId="22" fillId="0" borderId="38" xfId="0" applyNumberFormat="1" applyFont="1" applyBorder="1"/>
    <xf numFmtId="44" fontId="22" fillId="0" borderId="39" xfId="0" applyNumberFormat="1" applyFont="1" applyBorder="1"/>
    <xf numFmtId="0" fontId="16" fillId="33" borderId="10" xfId="0" applyFont="1" applyFill="1" applyBorder="1" applyAlignment="1">
      <alignment wrapText="1"/>
    </xf>
    <xf numFmtId="164" fontId="0" fillId="0" borderId="0" xfId="0" applyNumberFormat="1"/>
    <xf numFmtId="0" fontId="0" fillId="0" borderId="21" xfId="0" pivotButton="1" applyBorder="1"/>
    <xf numFmtId="0" fontId="0" fillId="0" borderId="23" xfId="0" applyBorder="1" applyAlignment="1">
      <alignment horizontal="left"/>
    </xf>
    <xf numFmtId="0" fontId="18" fillId="0" borderId="21" xfId="0" applyFont="1" applyBorder="1"/>
    <xf numFmtId="0" fontId="18" fillId="0" borderId="23" xfId="0" applyFont="1" applyBorder="1"/>
    <xf numFmtId="0" fontId="18" fillId="0" borderId="25" xfId="0" applyFont="1" applyBorder="1"/>
    <xf numFmtId="0" fontId="0" fillId="0" borderId="11" xfId="0" pivotButton="1" applyBorder="1" applyAlignment="1">
      <alignment horizontal="right" wrapText="1"/>
    </xf>
    <xf numFmtId="0" fontId="23" fillId="0" borderId="0" xfId="0" applyFont="1"/>
    <xf numFmtId="165" fontId="23" fillId="0" borderId="0" xfId="42" applyNumberFormat="1" applyFont="1"/>
    <xf numFmtId="165" fontId="0" fillId="0" borderId="0" xfId="42" applyNumberFormat="1" applyFont="1"/>
    <xf numFmtId="0" fontId="24" fillId="0" borderId="0" xfId="0" applyFont="1"/>
    <xf numFmtId="165" fontId="0" fillId="0" borderId="0" xfId="0" applyNumberFormat="1"/>
    <xf numFmtId="164" fontId="0" fillId="0" borderId="43" xfId="0" applyNumberFormat="1" applyBorder="1"/>
    <xf numFmtId="0" fontId="0" fillId="0" borderId="12" xfId="0" applyBorder="1" applyAlignment="1">
      <alignment horizontal="right" wrapText="1"/>
    </xf>
    <xf numFmtId="164" fontId="0" fillId="0" borderId="42" xfId="0" applyNumberFormat="1" applyBorder="1"/>
    <xf numFmtId="0" fontId="0" fillId="0" borderId="10" xfId="0" applyBorder="1" applyAlignment="1">
      <alignment horizontal="left"/>
    </xf>
    <xf numFmtId="0" fontId="0" fillId="0" borderId="20" xfId="0" applyBorder="1" applyAlignment="1">
      <alignment horizontal="right"/>
    </xf>
    <xf numFmtId="0" fontId="18" fillId="0" borderId="23" xfId="0" applyFont="1" applyBorder="1" applyAlignment="1">
      <alignment horizontal="left"/>
    </xf>
    <xf numFmtId="0" fontId="0" fillId="0" borderId="0" xfId="0" applyAlignment="1">
      <alignment horizontal="left"/>
    </xf>
    <xf numFmtId="0" fontId="16" fillId="33" borderId="13" xfId="0" applyFont="1" applyFill="1" applyBorder="1" applyAlignment="1">
      <alignment wrapText="1"/>
    </xf>
    <xf numFmtId="165" fontId="6" fillId="2" borderId="23" xfId="6" applyNumberFormat="1" applyBorder="1"/>
    <xf numFmtId="10" fontId="6" fillId="2" borderId="23" xfId="6" applyNumberFormat="1" applyBorder="1"/>
    <xf numFmtId="10" fontId="6" fillId="2" borderId="25" xfId="6" applyNumberFormat="1" applyBorder="1"/>
    <xf numFmtId="165" fontId="6" fillId="2" borderId="20" xfId="6" applyNumberFormat="1" applyBorder="1"/>
    <xf numFmtId="0" fontId="0" fillId="0" borderId="43" xfId="0" applyBorder="1" applyAlignment="1">
      <alignment horizontal="left"/>
    </xf>
    <xf numFmtId="0" fontId="0" fillId="0" borderId="43" xfId="0" applyBorder="1"/>
    <xf numFmtId="0" fontId="16" fillId="33" borderId="40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41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0" fontId="16" fillId="33" borderId="32" xfId="0" applyFont="1" applyFill="1" applyBorder="1" applyAlignment="1">
      <alignment horizontal="center" vertical="center" wrapText="1"/>
    </xf>
    <xf numFmtId="0" fontId="16" fillId="33" borderId="33" xfId="0" applyFont="1" applyFill="1" applyBorder="1" applyAlignment="1">
      <alignment horizontal="center" vertical="center" wrapText="1"/>
    </xf>
    <xf numFmtId="0" fontId="16" fillId="33" borderId="34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36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/>
    </dxf>
    <dxf>
      <alignment horizontal="right"/>
    </dxf>
    <dxf>
      <font>
        <i/>
      </font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font>
        <i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alignment wrapText="1"/>
    </dxf>
    <dxf>
      <numFmt numFmtId="164" formatCode="&quot;$&quot;#,##0.00"/>
    </dxf>
    <dxf>
      <numFmt numFmtId="164" formatCode="&quot;$&quot;#,##0.00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/>
    </dxf>
    <dxf>
      <alignment horizontal="right"/>
    </dxf>
    <dxf>
      <font>
        <i/>
      </font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font>
        <i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alignment wrapText="1"/>
    </dxf>
    <dxf>
      <numFmt numFmtId="164" formatCode="&quot;$&quot;#,##0.00"/>
    </dxf>
    <dxf>
      <numFmt numFmtId="164" formatCode="&quot;$&quot;#,##0.00"/>
    </dxf>
    <dxf>
      <font>
        <i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alignment wrapText="1"/>
    </dxf>
    <dxf>
      <numFmt numFmtId="164" formatCode="&quot;$&quot;#,##0.00"/>
    </dxf>
    <dxf>
      <numFmt numFmtId="164" formatCode="&quot;$&quot;#,##0.00"/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right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4" formatCode="&quot;$&quot;#,##0.00"/>
    </dxf>
    <dxf>
      <numFmt numFmtId="164" formatCode="&quot;$&quot;#,##0.00"/>
    </dxf>
    <dxf>
      <font>
        <i/>
      </font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right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4" formatCode="&quot;$&quot;#,##0.00"/>
    </dxf>
    <dxf>
      <numFmt numFmtId="164" formatCode="&quot;$&quot;#,##0.00"/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psy" refreshedDate="44643.919346643517" createdVersion="7" refreshedVersion="7" minRefreshableVersion="3" recordCount="99" xr:uid="{00000000-000A-0000-FFFF-FFFF03000000}">
  <cacheSource type="worksheet">
    <worksheetSource ref="A1:V100" sheet="payments_2022"/>
  </cacheSource>
  <cacheFields count="22">
    <cacheField name="id" numFmtId="0">
      <sharedItems count="99">
        <s v="ch_3KajVrKc9ZnUJQuy1NBEZ45v"/>
        <s v="ch_3Kb4MGKc9ZnUJQuy0S3W7i83"/>
        <s v="ch_3KcDjuKc9ZnUJQuy0bETM6l6"/>
        <s v="ch_3KcfaoKc9ZnUJQuy1MHMTbax"/>
        <s v="ch_3Kcy47Kc9ZnUJQuy1hQb2A63"/>
        <s v="ch_3KcyCNKc9ZnUJQuy0gqCY2Kd"/>
        <s v="ch_3Kd3IgKc9ZnUJQuy0cxTgm1x"/>
        <s v="ch_3Kd3q5Kc9ZnUJQuy0EcHInfp"/>
        <s v="ch_3Kd1JKKc9ZnUJQuy1TQz6FHw"/>
        <s v="ch_3Kd4RNKc9ZnUJQuy1d9cCFsh"/>
        <s v="ch_3KdEiCKc9ZnUJQuy04CtTz4I"/>
        <s v="ch_3KdErBKc9ZnUJQuy1cK6YeQt"/>
        <s v="ch_3KdFmRKc9ZnUJQuy0kp5YCYh"/>
        <s v="ch_3KdFq9Kc9ZnUJQuy1NcNeCnW"/>
        <s v="ch_3KdFzyKc9ZnUJQuy1DAADSL7"/>
        <s v="ch_3KdGRVKc9ZnUJQuy0JsOw3v9"/>
        <s v="ch_3KdGYMKc9ZnUJQuy0Gn1glUU"/>
        <s v="ch_3KdHrAKc9ZnUJQuy1q4MHr8u"/>
        <s v="ch_3KdIQFKc9ZnUJQuy0a6QvB0e"/>
        <s v="ch_3KdIv8Kc9ZnUJQuy106TNBWM"/>
        <s v="ch_3KdK3MKc9ZnUJQuy0CHJmcb6"/>
        <s v="ch_3KdKDqKc9ZnUJQuy1DX9AlF7"/>
        <s v="ch_3KdKZhKc9ZnUJQuy0tofWpaH"/>
        <s v="ch_3KdKeGKc9ZnUJQuy1fEQLMtn"/>
        <s v="ch_3KdKiVKc9ZnUJQuy1PdarUyp"/>
        <s v="ch_3KdLOfKc9ZnUJQuy1qDeu9qs"/>
        <s v="ch_3KdLRHKc9ZnUJQuy0AgJCPs4"/>
        <s v="ch_3KdMG9Kc9ZnUJQuy12VItuaE"/>
        <s v="ch_3KdNYNKc9ZnUJQuy0QCj7p4Y"/>
        <s v="ch_3KdNbiKc9ZnUJQuy0VhsfSxp"/>
        <s v="ch_3KdNgHKc9ZnUJQuy1ZQ6kr3L"/>
        <s v="ch_3KdNmZKc9ZnUJQuy1K0OKg8L"/>
        <s v="ch_3KdOFsKc9ZnUJQuy0HQ8BMaH"/>
        <s v="ch_3KdOd2Kc9ZnUJQuy0RLolhYB"/>
        <s v="ch_3KdOibKc9ZnUJQuy06bSthfE"/>
        <s v="ch_3KdPVXKc9ZnUJQuy1KGquWFx"/>
        <s v="ch_3KdPZZKc9ZnUJQuy0UambkKt"/>
        <s v="ch_3KdPdiKc9ZnUJQuy0V24NHOj"/>
        <s v="ch_3KdPgcKc9ZnUJQuy1mcHeRAp"/>
        <s v="ch_3KdVgNKc9ZnUJQuy1gSIaT7j"/>
        <s v="ch_3KdaCWKc9ZnUJQuy0wKNnaUQ"/>
        <s v="ch_3KdalmKc9ZnUJQuy0000dAfR"/>
        <s v="ch_3KdbBHKc9ZnUJQuy0DhRm64S"/>
        <s v="ch_3KdbFkKc9ZnUJQuy0MgR7etp"/>
        <s v="ch_3KdbK0Kc9ZnUJQuy1n4lv6tc"/>
        <s v="ch_3KdbYxKc9ZnUJQuy1QCn7b0k"/>
        <s v="ch_3Kdc7sKc9ZnUJQuy0nTu0UC0"/>
        <s v="ch_3KdcIAKc9ZnUJQuy1AZXjEj4"/>
        <s v="ch_3KdddaKc9ZnUJQuy1qLV3qg1"/>
        <s v="ch_3KddozKc9ZnUJQuy1GxmA5qS"/>
        <s v="ch_3KdeJEKc9ZnUJQuy08HuWfVw"/>
        <s v="ch_3KdedOKc9ZnUJQuy16CUYavw"/>
        <s v="ch_3KdfA0Kc9ZnUJQuy1C1DJgNN"/>
        <s v="ch_3KdlF0Kc9ZnUJQuy0nAUSLAo"/>
        <s v="ch_3KdmFpKc9ZnUJQuy0n8IQLD8"/>
        <s v="ch_3KdmRRKc9ZnUJQuy166Eln2z"/>
        <s v="ch_3KdmYnKc9ZnUJQuy1Ulaxfth"/>
        <s v="ch_3KdmnhKc9ZnUJQuy10HPv6M2"/>
        <s v="ch_3KdmteKc9ZnUJQuy0WAOZTMv"/>
        <s v="ch_3Kdnz5Kc9ZnUJQuy0oQg8o1Y"/>
        <s v="ch_3Kdw8QKc9ZnUJQuy1FylYh3m"/>
        <s v="ch_3KdwNcKc9ZnUJQuy1IxGzUjH"/>
        <s v="ch_3Kdz1WKc9ZnUJQuy1FIqs8ii"/>
        <s v="ch_3Kdz9xKc9ZnUJQuy1Zv9pwPE"/>
        <s v="ch_3KdzRmKc9ZnUJQuy0ZvYcFsW"/>
        <s v="ch_3Ke15gKc9ZnUJQuy0mItaIQ5"/>
        <s v="ch_3Ke1cjKc9ZnUJQuy0gdaxK1c"/>
        <s v="ch_3Ke2H2Kc9ZnUJQuy0P56CqiT"/>
        <s v="ch_3Ke2T7Kc9ZnUJQuy1jyWjaD6"/>
        <s v="ch_3Ke2OGKc9ZnUJQuy0hbmXgGW"/>
        <s v="ch_3Ke4SjKc9ZnUJQuy1EXn7l95"/>
        <s v="ch_3Ke676Kc9ZnUJQuy1OYAbo40"/>
        <s v="ch_3Ke6wIKc9ZnUJQuy0Xh0ZcP6"/>
        <s v="ch_3Ke7CRKc9ZnUJQuy1sCm0ojx"/>
        <s v="ch_3Ke7jrKc9ZnUJQuy1Qh3Tt3V"/>
        <s v="ch_3Ke7smKc9ZnUJQuy0FJazsd7"/>
        <s v="ch_3Ke82EKc9ZnUJQuy1Xfc3VqD"/>
        <s v="ch_3Ke8AVKc9ZnUJQuy0eMGLQ8V"/>
        <s v="ch_3Ke8UBKc9ZnUJQuy0uUagHuX"/>
        <s v="ch_3Ke8WzKc9ZnUJQuy04R6HbID"/>
        <s v="ch_3Ke8mGKc9ZnUJQuy0Kl5DPFW"/>
        <s v="ch_3Ke8ntKc9ZnUJQuy0GfjMWkE"/>
        <s v="ch_3Ke8wdKc9ZnUJQuy00mJLxp0"/>
        <s v="ch_3Ke9KkKc9ZnUJQuy1rZ06MgR"/>
        <s v="ch_3Ke9QyKc9ZnUJQuy0tMfwyVF"/>
        <s v="ch_3KeABJKc9ZnUJQuy1LORyCPU"/>
        <s v="ch_3KeBGWKc9ZnUJQuy1BsUVXdy"/>
        <s v="ch_3KeD9lKc9ZnUJQuy1aJyMhgb"/>
        <s v="ch_3KeG2sKc9ZnUJQuy1ehenVNh"/>
        <s v="ch_3KeHRMKc9ZnUJQuy11WqBG5h"/>
        <s v="ch_3KeJuPKc9ZnUJQuy06L9AH2z"/>
        <s v="ch_3KeK5nKc9ZnUJQuy03MXVxKk"/>
        <s v="ch_3KeKBrKc9ZnUJQuy0krr8s0T"/>
        <s v="ch_3KeKGoKc9ZnUJQuy1PeHi44T"/>
        <s v="ch_3KeKUOKc9ZnUJQuy057FI0Ie"/>
        <s v="ch_3KeKljKc9ZnUJQuy1hFxMPQ9"/>
        <s v="ch_3KeKsyKc9ZnUJQuy1KCAh4pM"/>
        <s v="ch_3KeKxOKc9ZnUJQuy0QAvDgNK"/>
        <s v="ch_3KeMPOKc9ZnUJQuy1hV4BEcm"/>
      </sharedItems>
    </cacheField>
    <cacheField name="Description" numFmtId="0">
      <sharedItems containsNonDate="0" containsString="0" containsBlank="1"/>
    </cacheField>
    <cacheField name="Seller Message" numFmtId="0">
      <sharedItems/>
    </cacheField>
    <cacheField name="Created (UTC)" numFmtId="22">
      <sharedItems containsSemiMixedTypes="0" containsNonDate="0" containsDate="1" containsString="0" minDate="2022-03-07T16:35:00" maxDate="2022-03-17T16:43:00"/>
    </cacheField>
    <cacheField name="Amount" numFmtId="0">
      <sharedItems containsSemiMixedTypes="0" containsString="0" containsNumber="1" minValue="3.14" maxValue="5"/>
    </cacheField>
    <cacheField name="Amount Refunded" numFmtId="0">
      <sharedItems containsSemiMixedTypes="0" containsString="0" containsNumber="1" containsInteger="1" minValue="0" maxValue="0"/>
    </cacheField>
    <cacheField name="Currency" numFmtId="0">
      <sharedItems/>
    </cacheField>
    <cacheField name="Coupon" numFmtId="0">
      <sharedItems containsBlank="1" count="4">
        <s v="ROTOWIRE"/>
        <m/>
        <s v="PIDAY"/>
        <s v="WELCOMEBACK"/>
      </sharedItems>
    </cacheField>
    <cacheField name="Converted Amount" numFmtId="0">
      <sharedItems containsSemiMixedTypes="0" containsString="0" containsNumber="1" minValue="3.14" maxValue="5"/>
    </cacheField>
    <cacheField name="Converted Amount Refunded" numFmtId="0">
      <sharedItems containsSemiMixedTypes="0" containsString="0" containsNumber="1" containsInteger="1" minValue="0" maxValue="0"/>
    </cacheField>
    <cacheField name="Fee" numFmtId="0">
      <sharedItems containsSemiMixedTypes="0" containsString="0" containsNumber="1" minValue="0.39" maxValue="0.45"/>
    </cacheField>
    <cacheField name="Tax" numFmtId="0">
      <sharedItems containsSemiMixedTypes="0" containsString="0" containsNumber="1" containsInteger="1" minValue="0" maxValue="0"/>
    </cacheField>
    <cacheField name="Converted Currency" numFmtId="0">
      <sharedItems/>
    </cacheField>
    <cacheField name="Status" numFmtId="0">
      <sharedItems/>
    </cacheField>
    <cacheField name="Statement Descriptor" numFmtId="0">
      <sharedItems containsNonDate="0" containsString="0" containsBlank="1"/>
    </cacheField>
    <cacheField name="Customer ID" numFmtId="0">
      <sharedItems/>
    </cacheField>
    <cacheField name="Customer Description" numFmtId="0">
      <sharedItems containsNonDate="0" containsString="0" containsBlank="1"/>
    </cacheField>
    <cacheField name="Customer Email" numFmtId="0">
      <sharedItems/>
    </cacheField>
    <cacheField name="Captured" numFmtId="0">
      <sharedItems/>
    </cacheField>
    <cacheField name="Card ID" numFmtId="0">
      <sharedItems/>
    </cacheField>
    <cacheField name="Invoice ID" numFmtId="0">
      <sharedItems containsNonDate="0" containsString="0" containsBlank="1"/>
    </cacheField>
    <cacheField name="Transf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psy" refreshedDate="44643.92494571759" createdVersion="7" refreshedVersion="7" minRefreshableVersion="3" recordCount="56" xr:uid="{00000000-000A-0000-FFFF-FFFF07000000}">
  <cacheSource type="worksheet">
    <worksheetSource ref="A1:V57" sheet="payments_2021"/>
  </cacheSource>
  <cacheFields count="22">
    <cacheField name="id" numFmtId="0">
      <sharedItems count="56">
        <s v="ch_1IWkPyKc9ZnUJQuyukFeAqcz"/>
        <s v="ch_1IWigBKc9ZnUJQuyyU7sT9wB"/>
        <s v="ch_1IWiTMKc9ZnUJQuyP32bup9V"/>
        <s v="ch_1IWc3CKc9ZnUJQuycLxUZQtI"/>
        <s v="ch_1IWYNcKc9ZnUJQuyl5kSQRgV"/>
        <s v="ch_1IWRWYKc9ZnUJQuyVAzA3oF1"/>
        <s v="ch_1IWQuaKc9ZnUJQuyRrgOlU8Z"/>
        <s v="ch_1IWOQ9Kc9ZnUJQuyx67bNaRi"/>
        <s v="ch_1IWNidKc9ZnUJQuy0H0RqIwB"/>
        <s v="ch_1IWMQfKc9ZnUJQuyrw8xlave"/>
        <s v="ch_1IWMBWKc9ZnUJQuywft2fjPn"/>
        <s v="ch_1IWLivKc9ZnUJQuyhqKgydl2"/>
        <s v="ch_1IWLbWKc9ZnUJQuy65c8MT7N"/>
        <s v="ch_1IWK4tKc9ZnUJQuyxRnU8acB"/>
        <s v="ch_1IWJCkKc9ZnUJQuyjmkv15xj"/>
        <s v="ch_1IWEvnKc9ZnUJQuyviMJv1HT"/>
        <s v="ch_1IWD8NKc9ZnUJQuyEPY3fk3D"/>
        <s v="ch_1IWCKUKc9ZnUJQuyY2wENVtA"/>
        <s v="ch_1IWBnWKc9ZnUJQuy0dzsdvNV"/>
        <s v="ch_1IWBSeKc9ZnUJQuyU8nvy81W"/>
        <s v="ch_1IWBMQKc9ZnUJQuy1o6vkptZ"/>
        <s v="ch_1IWBA6Kc9ZnUJQuycKULPHXk"/>
        <s v="ch_1IW8RHKc9ZnUJQuyiXbqvUNk"/>
        <s v="ch_1IW64uKc9ZnUJQuy0H6NXM4Z"/>
        <s v="ch_1IW5QNKc9ZnUJQuy4OST56Z6"/>
        <s v="ch_1IW2dkKc9ZnUJQuyFAADNL2k"/>
        <s v="ch_1IW1PiKc9ZnUJQuy4GkGKtC9"/>
        <s v="ch_1IVpFyKc9ZnUJQuy5sKs4D3u"/>
        <s v="ch_1IVny2Kc9ZnUJQuyiTTeEOwW"/>
        <s v="ch_1IVkxrKc9ZnUJQuyim6inCng"/>
        <s v="ch_1IVjnZKc9ZnUJQuySmMYEbWM"/>
        <s v="ch_1IViRDKc9ZnUJQuybnwsfoDv"/>
        <s v="ch_1IVh3RKc9ZnUJQuyF8MM6dtH"/>
        <s v="ch_1IVghSKc9ZnUJQuyuZuYKlvt"/>
        <s v="ch_1IVgUcKc9ZnUJQuySnrXiXz5"/>
        <s v="ch_1IVeH5Kc9ZnUJQuy94SpdnOt"/>
        <s v="ch_1IVeA2Kc9ZnUJQuy4IFH407H"/>
        <s v="ch_1IVdwHKc9ZnUJQuymfyKdmy1"/>
        <s v="ch_1IVVcCKc9ZnUJQuy9q1w30IN"/>
        <s v="ch_1IVTwMKc9ZnUJQuyC4TlOnQU"/>
        <s v="ch_1IVTKHKc9ZnUJQuyEbXEhaZP"/>
        <s v="ch_1IVS9wKc9ZnUJQuylmFi9XyH"/>
        <s v="ch_1IVRXEKc9ZnUJQuyD7LXADvI"/>
        <s v="ch_1IVR4gKc9ZnUJQuysFpc0qwD"/>
        <s v="ch_1IVQkBKc9ZnUJQuy5mUylTns"/>
        <s v="ch_1IVQ6gKc9ZnUJQuyZgu8T2s5"/>
        <s v="ch_1IVPm3Kc9ZnUJQuy1LPsABye"/>
        <s v="ch_1IVPSAKc9ZnUJQuy5LkyYZgT"/>
        <s v="ch_1IVO17Kc9ZnUJQuy4UNrATjA"/>
        <s v="ch_1IVN4BKc9ZnUJQuyu14mHNEh"/>
        <s v="ch_1IVKtPKc9ZnUJQuyq9keYcYP"/>
        <s v="ch_1IVKo9Kc9ZnUJQuyV7WsUV0I"/>
        <s v="ch_1IVFFdKc9ZnUJQuy4QrWEAEU"/>
        <s v="ch_1IV3poKc9ZnUJQuyQKsKbQ0C"/>
        <s v="ch_1IUzMIKc9ZnUJQuy09D44feh"/>
        <s v="ch_1IUkkPKc9ZnUJQuye4FQOBKD"/>
      </sharedItems>
    </cacheField>
    <cacheField name="description" numFmtId="0">
      <sharedItems containsNonDate="0" containsString="0" containsBlank="1"/>
    </cacheField>
    <cacheField name="seller_message" numFmtId="0">
      <sharedItems/>
    </cacheField>
    <cacheField name="created" numFmtId="22">
      <sharedItems containsSemiMixedTypes="0" containsNonDate="0" containsDate="1" containsString="0" minDate="2021-03-14T03:36:00" maxDate="2021-03-19T15:39:00"/>
    </cacheField>
    <cacheField name="Coupon" numFmtId="22">
      <sharedItems containsBlank="1" count="3">
        <m/>
        <s v="WELCOMEBACK"/>
        <s v="ROCKSTAR"/>
      </sharedItems>
    </cacheField>
    <cacheField name="amount" numFmtId="0">
      <sharedItems containsSemiMixedTypes="0" containsString="0" containsNumber="1" minValue="0.5" maxValue="5"/>
    </cacheField>
    <cacheField name="amount_refunded" numFmtId="0">
      <sharedItems containsSemiMixedTypes="0" containsString="0" containsNumber="1" containsInteger="1" minValue="0" maxValue="0"/>
    </cacheField>
    <cacheField name="currency" numFmtId="0">
      <sharedItems/>
    </cacheField>
    <cacheField name="converted_amount" numFmtId="0">
      <sharedItems containsSemiMixedTypes="0" containsString="0" containsNumber="1" minValue="0.5" maxValue="5"/>
    </cacheField>
    <cacheField name="converted_amount_refunded" numFmtId="0">
      <sharedItems containsSemiMixedTypes="0" containsString="0" containsNumber="1" containsInteger="1" minValue="0" maxValue="0"/>
    </cacheField>
    <cacheField name="fee" numFmtId="0">
      <sharedItems containsSemiMixedTypes="0" containsString="0" containsNumber="1" minValue="0.31" maxValue="0.45"/>
    </cacheField>
    <cacheField name="tax" numFmtId="0">
      <sharedItems containsSemiMixedTypes="0" containsString="0" containsNumber="1" containsInteger="1" minValue="0" maxValue="0"/>
    </cacheField>
    <cacheField name="converted_currency" numFmtId="0">
      <sharedItems/>
    </cacheField>
    <cacheField name="status" numFmtId="0">
      <sharedItems/>
    </cacheField>
    <cacheField name="statement_descriptor" numFmtId="0">
      <sharedItems containsNonDate="0" containsString="0" containsBlank="1"/>
    </cacheField>
    <cacheField name="customer_id" numFmtId="0">
      <sharedItems/>
    </cacheField>
    <cacheField name="customer_description" numFmtId="0">
      <sharedItems containsNonDate="0" containsString="0" containsBlank="1"/>
    </cacheField>
    <cacheField name="customer_email" numFmtId="0">
      <sharedItems/>
    </cacheField>
    <cacheField name="captured" numFmtId="0">
      <sharedItems/>
    </cacheField>
    <cacheField name="card_id" numFmtId="0">
      <sharedItems/>
    </cacheField>
    <cacheField name="invoice_id" numFmtId="0">
      <sharedItems containsNonDate="0" containsString="0" containsBlank="1"/>
    </cacheField>
    <cacheField name="transf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psy" refreshedDate="45014.941865162036" createdVersion="8" refreshedVersion="8" minRefreshableVersion="3" recordCount="140" xr:uid="{EAB6E6F2-2BCF-410A-AD68-0FF738B2B8CD}">
  <cacheSource type="worksheet">
    <worksheetSource ref="A1:W198" sheet="payments_2023"/>
  </cacheSource>
  <cacheFields count="23">
    <cacheField name="id" numFmtId="0">
      <sharedItems containsBlank="1"/>
    </cacheField>
    <cacheField name="Description" numFmtId="0">
      <sharedItems containsNonDate="0" containsString="0" containsBlank="1"/>
    </cacheField>
    <cacheField name="Seller Message" numFmtId="0">
      <sharedItems containsBlank="1"/>
    </cacheField>
    <cacheField name="Created (UTC)" numFmtId="0">
      <sharedItems containsNonDate="0" containsDate="1" containsString="0" containsBlank="1" minDate="2023-03-07T01:12:00" maxDate="2023-03-16T15:56:00"/>
    </cacheField>
    <cacheField name="Amount" numFmtId="0">
      <sharedItems containsString="0" containsBlank="1" containsNumber="1" minValue="3.75" maxValue="5"/>
    </cacheField>
    <cacheField name="COUPON" numFmtId="0">
      <sharedItems containsBlank="1" count="5">
        <s v="NONE"/>
        <s v="ROTOWIRE"/>
        <s v="WELCOMEBACK"/>
        <s v="EMAIL"/>
        <m/>
      </sharedItems>
    </cacheField>
    <cacheField name="Amount Refunded" numFmtId="0">
      <sharedItems containsString="0" containsBlank="1" containsNumber="1" containsInteger="1" minValue="0" maxValue="0"/>
    </cacheField>
    <cacheField name="Currency" numFmtId="0">
      <sharedItems containsBlank="1"/>
    </cacheField>
    <cacheField name="Converted Amount" numFmtId="0">
      <sharedItems containsString="0" containsBlank="1" containsNumber="1" minValue="3.75" maxValue="5"/>
    </cacheField>
    <cacheField name="Converted Amount Refunded" numFmtId="0">
      <sharedItems containsString="0" containsBlank="1" containsNumber="1" containsInteger="1" minValue="0" maxValue="0"/>
    </cacheField>
    <cacheField name="Fee" numFmtId="0">
      <sharedItems containsString="0" containsBlank="1" containsNumber="1" minValue="0.41" maxValue="0.45"/>
    </cacheField>
    <cacheField name="Taxes On Fee" numFmtId="0">
      <sharedItems containsString="0" containsBlank="1" containsNumber="1" containsInteger="1" minValue="0" maxValue="0"/>
    </cacheField>
    <cacheField name="Converted Currency" numFmtId="0">
      <sharedItems containsBlank="1"/>
    </cacheField>
    <cacheField name="Mode" numFmtId="0">
      <sharedItems containsBlank="1"/>
    </cacheField>
    <cacheField name="Status" numFmtId="0">
      <sharedItems containsBlank="1"/>
    </cacheField>
    <cacheField name="Statement Descriptor" numFmtId="0">
      <sharedItems containsBlank="1"/>
    </cacheField>
    <cacheField name="Customer ID" numFmtId="0">
      <sharedItems containsBlank="1"/>
    </cacheField>
    <cacheField name="Customer Description" numFmtId="0">
      <sharedItems containsNonDate="0" containsString="0" containsBlank="1"/>
    </cacheField>
    <cacheField name="Customer Email" numFmtId="0">
      <sharedItems containsBlank="1"/>
    </cacheField>
    <cacheField name="Captured" numFmtId="0">
      <sharedItems containsBlank="1"/>
    </cacheField>
    <cacheField name="Card ID" numFmtId="0">
      <sharedItems containsBlank="1"/>
    </cacheField>
    <cacheField name="Card Last4" numFmtId="0">
      <sharedItems containsString="0" containsBlank="1" containsNumber="1" containsInteger="1" minValue="93" maxValue="9936"/>
    </cacheField>
    <cacheField name="Card Br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psy" refreshedDate="45737.654482175923" createdVersion="8" refreshedVersion="8" minRefreshableVersion="3" recordCount="110" xr:uid="{13067583-8192-2A49-83A9-4958E8C1A072}">
  <cacheSource type="worksheet">
    <worksheetSource ref="A1:W198" sheet="payments_2024"/>
  </cacheSource>
  <cacheFields count="23">
    <cacheField name="id" numFmtId="0">
      <sharedItems containsBlank="1"/>
    </cacheField>
    <cacheField name="Created date (UTC)" numFmtId="0">
      <sharedItems containsNonDate="0" containsDate="1" containsString="0" containsBlank="1" minDate="2024-02-27T00:29:32" maxDate="2024-03-21T15:32:26"/>
    </cacheField>
    <cacheField name="Before Tournament?" numFmtId="0">
      <sharedItems containsBlank="1"/>
    </cacheField>
    <cacheField name="Amount" numFmtId="0">
      <sharedItems containsString="0" containsBlank="1" containsNumber="1" containsInteger="1" minValue="4" maxValue="5"/>
    </cacheField>
    <cacheField name="Coupon Code" numFmtId="0">
      <sharedItems containsBlank="1" count="3">
        <s v="WELCOMEBACK"/>
        <m/>
        <s v="ROTOWIRE"/>
      </sharedItems>
    </cacheField>
    <cacheField name="Fee" numFmtId="0">
      <sharedItems containsString="0" containsBlank="1" containsNumber="1" minValue="0.42" maxValue="0.45"/>
    </cacheField>
    <cacheField name="Fee Percent" numFmtId="0">
      <sharedItems containsString="0" containsBlank="1" containsNumber="1" minValue="0.09" maxValue="0.105"/>
    </cacheField>
    <cacheField name="Is Link" numFmtId="0">
      <sharedItems containsBlank="1"/>
    </cacheField>
    <cacheField name="Card Address City" numFmtId="0">
      <sharedItems containsBlank="1"/>
    </cacheField>
    <cacheField name="Card Address State" numFmtId="0">
      <sharedItems containsBlank="1"/>
    </cacheField>
    <cacheField name="Card Address Country" numFmtId="0">
      <sharedItems containsBlank="1"/>
    </cacheField>
    <cacheField name="Card Address Zip" numFmtId="0">
      <sharedItems containsBlank="1" containsMixedTypes="1" containsNumber="1" containsInteger="1" minValue="1930" maxValue="98116"/>
    </cacheField>
    <cacheField name="Card AVS Line1 Status" numFmtId="0">
      <sharedItems containsBlank="1"/>
    </cacheField>
    <cacheField name="Card AVS Zip Status" numFmtId="0">
      <sharedItems containsBlank="1"/>
    </cacheField>
    <cacheField name="Card Brand" numFmtId="0">
      <sharedItems containsBlank="1"/>
    </cacheField>
    <cacheField name="Card CVC Status" numFmtId="0">
      <sharedItems containsBlank="1"/>
    </cacheField>
    <cacheField name="Card Exp Month" numFmtId="0">
      <sharedItems containsString="0" containsBlank="1" containsNumber="1" containsInteger="1" minValue="1" maxValue="12"/>
    </cacheField>
    <cacheField name="Card Exp Year" numFmtId="0">
      <sharedItems containsString="0" containsBlank="1" containsNumber="1" containsInteger="1" minValue="2024" maxValue="2032"/>
    </cacheField>
    <cacheField name="Card Fingerprint" numFmtId="0">
      <sharedItems containsBlank="1"/>
    </cacheField>
    <cacheField name="Card Funding" numFmtId="0">
      <sharedItems containsBlank="1"/>
    </cacheField>
    <cacheField name="Card Issue Country" numFmtId="0">
      <sharedItems containsBlank="1"/>
    </cacheField>
    <cacheField name="Card Last4" numFmtId="0">
      <sharedItems containsString="0" containsBlank="1" containsNumber="1" containsInteger="1" minValue="35" maxValue="9914"/>
    </cacheField>
    <cacheField name="Card Tokenization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psy" refreshedDate="45737.662949305559" createdVersion="8" refreshedVersion="8" minRefreshableVersion="3" recordCount="45" xr:uid="{776D22E8-36B8-4D40-857C-FDE5510F21E6}">
  <cacheSource type="worksheet">
    <worksheetSource ref="A1:Q198" sheet="payments_2025"/>
  </cacheSource>
  <cacheFields count="17">
    <cacheField name="id" numFmtId="0">
      <sharedItems containsBlank="1"/>
    </cacheField>
    <cacheField name="Created date (UTC)" numFmtId="0">
      <sharedItems containsNonDate="0" containsDate="1" containsString="0" containsBlank="1" minDate="2025-02-19T20:58:37" maxDate="2025-03-20T15:45:51"/>
    </cacheField>
    <cacheField name="Before Tournament Update?" numFmtId="0">
      <sharedItems containsBlank="1"/>
    </cacheField>
    <cacheField name="Amount" numFmtId="0">
      <sharedItems containsString="0" containsBlank="1" containsNumber="1" minValue="0.5" maxValue="5"/>
    </cacheField>
    <cacheField name="Coupon Code" numFmtId="0">
      <sharedItems containsBlank="1" count="5">
        <m/>
        <s v="LINKEDIN10"/>
        <s v="ROADMAP"/>
        <s v="WELCOMEBACK"/>
        <s v="ROCKSTAR"/>
      </sharedItems>
    </cacheField>
    <cacheField name="Fee" numFmtId="0">
      <sharedItems containsString="0" containsBlank="1" containsNumber="1" minValue="0.31" maxValue="0.45"/>
    </cacheField>
    <cacheField name="Fee Percent" numFmtId="0">
      <sharedItems containsString="0" containsBlank="1" containsNumber="1" minValue="0.09" maxValue="0.62"/>
    </cacheField>
    <cacheField name="Is Link" numFmtId="0">
      <sharedItems containsBlank="1"/>
    </cacheField>
    <cacheField name="Card Address City" numFmtId="0">
      <sharedItems containsBlank="1"/>
    </cacheField>
    <cacheField name="Card Address State" numFmtId="0">
      <sharedItems containsBlank="1"/>
    </cacheField>
    <cacheField name="Card Address Country" numFmtId="0">
      <sharedItems containsBlank="1"/>
    </cacheField>
    <cacheField name="Card Address Zip" numFmtId="0">
      <sharedItems containsBlank="1" containsMixedTypes="1" containsNumber="1" containsInteger="1" minValue="10312" maxValue="93710"/>
    </cacheField>
    <cacheField name="Card Brand" numFmtId="0">
      <sharedItems containsBlank="1"/>
    </cacheField>
    <cacheField name="Card Funding" numFmtId="0">
      <sharedItems containsBlank="1"/>
    </cacheField>
    <cacheField name="Card Tokenization Method" numFmtId="0">
      <sharedItems containsBlank="1"/>
    </cacheField>
    <cacheField name="Card Type" numFmtId="0">
      <sharedItems containsBlank="1"/>
    </cacheField>
    <cacheField name="Customer Email (Masked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m/>
    <s v="Payment complete."/>
    <d v="2022-03-07T16:35:00"/>
    <n v="4"/>
    <n v="0"/>
    <s v="usd"/>
    <x v="0"/>
    <n v="4"/>
    <n v="0"/>
    <n v="0.42"/>
    <n v="0"/>
    <s v="usd"/>
    <s v="Paid"/>
    <m/>
    <s v="cus_LHI7LugTzrNdiC"/>
    <m/>
    <s v="jshupe@supportedintelligence.com"/>
    <b v="1"/>
    <s v="pm_1KajXBKc9ZnUJQuyLQRUdurI"/>
    <m/>
    <m/>
  </r>
  <r>
    <x v="1"/>
    <m/>
    <s v="Payment complete."/>
    <d v="2022-03-08T14:50:00"/>
    <n v="5"/>
    <n v="0"/>
    <s v="usd"/>
    <x v="1"/>
    <n v="5"/>
    <n v="0"/>
    <n v="0.45"/>
    <n v="0"/>
    <s v="usd"/>
    <s v="Paid"/>
    <m/>
    <s v="cus_LHdd8nuTz43bnT"/>
    <m/>
    <s v="jwmcnear@gmail.com"/>
    <b v="1"/>
    <s v="pm_1Kb4MeKc9ZnUJQuy0326zWH0"/>
    <m/>
    <m/>
  </r>
  <r>
    <x v="2"/>
    <m/>
    <s v="Payment complete."/>
    <d v="2022-03-11T19:03:00"/>
    <n v="5"/>
    <n v="0"/>
    <s v="usd"/>
    <x v="1"/>
    <n v="5"/>
    <n v="0"/>
    <n v="0.45"/>
    <n v="0"/>
    <s v="usd"/>
    <s v="Paid"/>
    <m/>
    <s v="cus_LIpPB78kNQ02pe"/>
    <m/>
    <s v="mario.a.ramos@hotmail.com"/>
    <b v="1"/>
    <s v="pm_1KcDkDKc9ZnUJQuyjG7JIrBx"/>
    <m/>
    <m/>
  </r>
  <r>
    <x v="3"/>
    <m/>
    <s v="Payment complete."/>
    <d v="2022-03-13T00:47:00"/>
    <n v="5"/>
    <n v="0"/>
    <s v="usd"/>
    <x v="1"/>
    <n v="5"/>
    <n v="0"/>
    <n v="0.45"/>
    <n v="0"/>
    <s v="usd"/>
    <s v="Paid"/>
    <m/>
    <s v="cus_LJIBcmkYJyzRhF"/>
    <m/>
    <s v="mike.althouse@gmail.com"/>
    <b v="1"/>
    <s v="pm_1KcfbEKc9ZnUJQuyNZcbXOpZ"/>
    <m/>
    <m/>
  </r>
  <r>
    <x v="4"/>
    <m/>
    <s v="Payment complete."/>
    <d v="2022-03-13T20:32:00"/>
    <n v="5"/>
    <n v="0"/>
    <s v="usd"/>
    <x v="1"/>
    <n v="5"/>
    <n v="0"/>
    <n v="0.45"/>
    <n v="0"/>
    <s v="usd"/>
    <s v="Paid"/>
    <m/>
    <s v="cus_LJbIMfFv63kndk"/>
    <m/>
    <s v="edfun1961@hotmail.com"/>
    <b v="1"/>
    <s v="pm_1Kcy5eKc9ZnUJQuyQ69uAbey"/>
    <m/>
    <m/>
  </r>
  <r>
    <x v="5"/>
    <m/>
    <s v="Payment complete."/>
    <d v="2022-03-13T20:40:00"/>
    <n v="5"/>
    <n v="0"/>
    <s v="usd"/>
    <x v="1"/>
    <n v="5"/>
    <n v="0"/>
    <n v="0.45"/>
    <n v="0"/>
    <s v="usd"/>
    <s v="Paid"/>
    <m/>
    <s v="cus_LJbP5gyLdr9cvZ"/>
    <m/>
    <s v="jimmy.dempse@gmail.com"/>
    <b v="1"/>
    <s v="pm_1KcyCqKc9ZnUJQuytFngLa2g"/>
    <m/>
    <m/>
  </r>
  <r>
    <x v="6"/>
    <m/>
    <s v="Payment complete."/>
    <d v="2022-03-14T02:07:00"/>
    <n v="5"/>
    <n v="0"/>
    <s v="usd"/>
    <x v="1"/>
    <n v="5"/>
    <n v="0"/>
    <n v="0.45"/>
    <n v="0"/>
    <s v="usd"/>
    <s v="Paid"/>
    <m/>
    <s v="cus_LJghYKlP3ab7pX"/>
    <m/>
    <s v="h-d@embarqmail.com"/>
    <b v="1"/>
    <s v="pm_1Kd3JeKc9ZnUJQuyy7ufbN6K"/>
    <m/>
    <m/>
  </r>
  <r>
    <x v="7"/>
    <m/>
    <s v="Payment complete."/>
    <d v="2022-03-14T02:41:00"/>
    <n v="5"/>
    <n v="0"/>
    <s v="usd"/>
    <x v="1"/>
    <n v="5"/>
    <n v="0"/>
    <n v="0.45"/>
    <n v="0"/>
    <s v="usd"/>
    <s v="Paid"/>
    <m/>
    <s v="cus_LJhFiGYZnU9zfG"/>
    <m/>
    <s v="elizabethrshupe@gmail.com"/>
    <b v="1"/>
    <s v="pm_1Kd3qgKc9ZnUJQuyatGcPr6B"/>
    <m/>
    <m/>
  </r>
  <r>
    <x v="8"/>
    <m/>
    <s v="Payment complete."/>
    <d v="2022-03-14T02:47:00"/>
    <n v="5"/>
    <n v="0"/>
    <s v="usd"/>
    <x v="1"/>
    <n v="5"/>
    <n v="0"/>
    <n v="0.45"/>
    <n v="0"/>
    <s v="usd"/>
    <s v="Paid"/>
    <m/>
    <s v="cus_LJedOPk512xDDn"/>
    <m/>
    <s v="jaimes.dickerson@gmail.com"/>
    <b v="1"/>
    <s v="pm_1Kd3wtKc9ZnUJQuy2KQdgq0l"/>
    <m/>
    <m/>
  </r>
  <r>
    <x v="9"/>
    <m/>
    <s v="Payment complete."/>
    <d v="2022-03-14T03:22:00"/>
    <n v="5"/>
    <n v="0"/>
    <s v="usd"/>
    <x v="1"/>
    <n v="5"/>
    <n v="0"/>
    <n v="0.45"/>
    <n v="0"/>
    <s v="usd"/>
    <s v="Paid"/>
    <m/>
    <s v="cus_LJhu6LJs3iwOih"/>
    <m/>
    <s v="edfinn10@yahoo.com"/>
    <b v="1"/>
    <s v="pm_1Kd4UFKc9ZnUJQuyFTNQVOEr"/>
    <m/>
    <m/>
  </r>
  <r>
    <x v="10"/>
    <m/>
    <s v="Payment complete."/>
    <d v="2022-03-14T14:18:00"/>
    <n v="5"/>
    <n v="0"/>
    <s v="usd"/>
    <x v="1"/>
    <n v="5"/>
    <n v="0"/>
    <n v="0.45"/>
    <n v="0"/>
    <s v="usd"/>
    <s v="Paid"/>
    <m/>
    <s v="cus_LJsTExh8ebjS3d"/>
    <m/>
    <s v="joshua@cloudinsyte.com"/>
    <b v="1"/>
    <s v="pm_1KdEikKc9ZnUJQuyGj9wbQmI"/>
    <m/>
    <m/>
  </r>
  <r>
    <x v="11"/>
    <m/>
    <s v="Payment complete."/>
    <d v="2022-03-14T14:27:00"/>
    <n v="5"/>
    <n v="0"/>
    <s v="usd"/>
    <x v="1"/>
    <n v="5"/>
    <n v="0"/>
    <n v="0.45"/>
    <n v="0"/>
    <s v="usd"/>
    <s v="Paid"/>
    <m/>
    <s v="cus_LJsc6uIm4DPjwg"/>
    <m/>
    <s v="markermac2@gmail.com"/>
    <b v="1"/>
    <s v="pm_1KdEraKc9ZnUJQuyefasUIlG"/>
    <m/>
    <m/>
  </r>
  <r>
    <x v="12"/>
    <m/>
    <s v="Payment complete."/>
    <d v="2022-03-14T15:27:00"/>
    <n v="4"/>
    <n v="0"/>
    <s v="usd"/>
    <x v="0"/>
    <n v="4"/>
    <n v="0"/>
    <n v="0.42"/>
    <n v="0"/>
    <s v="usd"/>
    <s v="Paid"/>
    <m/>
    <s v="cus_LJtaIcHKis7t79"/>
    <m/>
    <s v="joshlovell@charter.net"/>
    <b v="1"/>
    <s v="pm_1KdFniKc9ZnUJQuyPJjIhaTR"/>
    <m/>
    <m/>
  </r>
  <r>
    <x v="13"/>
    <m/>
    <s v="Payment complete."/>
    <d v="2022-03-14T15:30:00"/>
    <n v="4"/>
    <n v="0"/>
    <s v="usd"/>
    <x v="0"/>
    <n v="4"/>
    <n v="0"/>
    <n v="0.42"/>
    <n v="0"/>
    <s v="usd"/>
    <s v="Paid"/>
    <m/>
    <s v="cus_LJtelUY21l7vTh"/>
    <m/>
    <s v="michael.follaco@gmail.com"/>
    <b v="1"/>
    <s v="pm_1KdFqhKc9ZnUJQuyz6vCP4IY"/>
    <m/>
    <m/>
  </r>
  <r>
    <x v="14"/>
    <m/>
    <s v="Payment complete."/>
    <d v="2022-03-14T15:40:00"/>
    <n v="5"/>
    <n v="0"/>
    <s v="usd"/>
    <x v="1"/>
    <n v="5"/>
    <n v="0"/>
    <n v="0.45"/>
    <n v="0"/>
    <s v="usd"/>
    <s v="Paid"/>
    <m/>
    <s v="cus_LJtoN1T4GXq3S6"/>
    <m/>
    <s v="eboyd6@gmail.com"/>
    <b v="1"/>
    <s v="pm_1KdG0wKc9ZnUJQuy5cYImjLD"/>
    <m/>
    <m/>
  </r>
  <r>
    <x v="15"/>
    <m/>
    <s v="Payment complete."/>
    <d v="2022-03-14T16:10:00"/>
    <n v="5"/>
    <n v="0"/>
    <s v="usd"/>
    <x v="1"/>
    <n v="5"/>
    <n v="0"/>
    <n v="0.45"/>
    <n v="0"/>
    <s v="usd"/>
    <s v="Paid"/>
    <m/>
    <s v="cus_LJuHTU8C7yCKxP"/>
    <m/>
    <s v="hector.d.herrera6@gmail.com"/>
    <b v="1"/>
    <s v="pm_1KdGT5Kc9ZnUJQuyWmIcjOox"/>
    <m/>
    <m/>
  </r>
  <r>
    <x v="16"/>
    <m/>
    <s v="Payment complete."/>
    <d v="2022-03-14T16:15:00"/>
    <n v="5"/>
    <n v="0"/>
    <s v="usd"/>
    <x v="1"/>
    <n v="5"/>
    <n v="0"/>
    <n v="0.45"/>
    <n v="0"/>
    <s v="usd"/>
    <s v="Paid"/>
    <m/>
    <s v="cus_LJuNL6b8LfNqdR"/>
    <m/>
    <s v="grantweingarten@gmail.com"/>
    <b v="1"/>
    <s v="pm_1KdGYVKc9ZnUJQuyRICN2zS0"/>
    <m/>
    <m/>
  </r>
  <r>
    <x v="17"/>
    <m/>
    <s v="Payment complete."/>
    <d v="2022-03-14T17:41:00"/>
    <n v="5"/>
    <n v="0"/>
    <s v="usd"/>
    <x v="1"/>
    <n v="5"/>
    <n v="0"/>
    <n v="0.45"/>
    <n v="0"/>
    <s v="usd"/>
    <s v="Paid"/>
    <m/>
    <s v="cus_LJvlowIuOG5J7T"/>
    <m/>
    <s v="jps243448@gmail.com"/>
    <b v="1"/>
    <s v="pm_1KdHtmKc9ZnUJQuyG9XL6W3W"/>
    <m/>
    <m/>
  </r>
  <r>
    <x v="18"/>
    <m/>
    <s v="Payment complete."/>
    <d v="2022-03-14T18:17:00"/>
    <n v="5"/>
    <n v="0"/>
    <s v="usd"/>
    <x v="1"/>
    <n v="5"/>
    <n v="0"/>
    <n v="0.45"/>
    <n v="0"/>
    <s v="usd"/>
    <s v="Paid"/>
    <m/>
    <s v="cus_LJwKvO6886HIYH"/>
    <m/>
    <s v="bpenn@rwbaird.com"/>
    <b v="1"/>
    <s v="pm_1KdIS4Kc9ZnUJQuyjPeasgia"/>
    <m/>
    <m/>
  </r>
  <r>
    <x v="19"/>
    <m/>
    <s v="Payment complete."/>
    <d v="2022-03-14T18:49:00"/>
    <n v="5"/>
    <n v="0"/>
    <s v="usd"/>
    <x v="1"/>
    <n v="5"/>
    <n v="0"/>
    <n v="0.45"/>
    <n v="0"/>
    <s v="usd"/>
    <s v="Paid"/>
    <m/>
    <s v="cus_LJwqmZrbx0ZOxz"/>
    <m/>
    <s v="jhawker44@msn.com"/>
    <b v="1"/>
    <s v="pm_1KdIwzKc9ZnUJQuySyA8AUNl"/>
    <m/>
    <m/>
  </r>
  <r>
    <x v="20"/>
    <m/>
    <s v="Payment complete."/>
    <d v="2022-03-14T20:01:00"/>
    <n v="3.14"/>
    <n v="0"/>
    <s v="usd"/>
    <x v="2"/>
    <n v="3.14"/>
    <n v="0"/>
    <n v="0.39"/>
    <n v="0"/>
    <s v="usd"/>
    <s v="Paid"/>
    <m/>
    <s v="cus_LJy1fiKmu7Vlpa"/>
    <m/>
    <s v="arobe35999@gmail.com"/>
    <b v="1"/>
    <s v="pm_1KdK56Kc9ZnUJQuychKu2Nyn"/>
    <m/>
    <m/>
  </r>
  <r>
    <x v="21"/>
    <m/>
    <s v="Payment complete."/>
    <d v="2022-03-14T20:15:00"/>
    <n v="3.14"/>
    <n v="0"/>
    <s v="usd"/>
    <x v="2"/>
    <n v="3.14"/>
    <n v="0"/>
    <n v="0.39"/>
    <n v="0"/>
    <s v="usd"/>
    <s v="Paid"/>
    <m/>
    <s v="cus_LJyE5eanjo19Mq"/>
    <m/>
    <s v="jamesbo@ameritech.net"/>
    <b v="1"/>
    <s v="pm_1KdKIUKc9ZnUJQuyFldlURyh"/>
    <m/>
    <m/>
  </r>
  <r>
    <x v="22"/>
    <m/>
    <s v="Payment complete."/>
    <d v="2022-03-14T20:33:00"/>
    <n v="5"/>
    <n v="0"/>
    <s v="usd"/>
    <x v="1"/>
    <n v="5"/>
    <n v="0"/>
    <n v="0.45"/>
    <n v="0"/>
    <s v="usd"/>
    <s v="Paid"/>
    <m/>
    <s v="cus_LJyXS7woApXMvo"/>
    <m/>
    <s v="jcascio@bellsouth.net"/>
    <b v="1"/>
    <s v="pm_1KdKaUKc9ZnUJQuy1pYQ4CRG"/>
    <m/>
    <m/>
  </r>
  <r>
    <x v="23"/>
    <m/>
    <s v="Payment complete."/>
    <d v="2022-03-14T20:38:00"/>
    <n v="5"/>
    <n v="0"/>
    <s v="usd"/>
    <x v="1"/>
    <n v="5"/>
    <n v="0"/>
    <n v="0.45"/>
    <n v="0"/>
    <s v="usd"/>
    <s v="Paid"/>
    <m/>
    <s v="cus_LJycF3QosiI1S0"/>
    <m/>
    <s v="nick_mck@msn.com"/>
    <b v="1"/>
    <s v="pm_1KdKeuKc9ZnUJQuykAhhEkJp"/>
    <m/>
    <m/>
  </r>
  <r>
    <x v="24"/>
    <m/>
    <s v="Payment complete."/>
    <d v="2022-03-14T20:43:00"/>
    <n v="3.14"/>
    <n v="0"/>
    <s v="usd"/>
    <x v="2"/>
    <n v="3.14"/>
    <n v="0"/>
    <n v="0.39"/>
    <n v="0"/>
    <s v="usd"/>
    <s v="Paid"/>
    <m/>
    <s v="cus_LJyhzaKPdUHSvR"/>
    <m/>
    <s v="rwlustig@gmail.com"/>
    <b v="1"/>
    <s v="pm_1KdKjiKc9ZnUJQuyP1amkmXD"/>
    <m/>
    <m/>
  </r>
  <r>
    <x v="25"/>
    <m/>
    <s v="Payment complete."/>
    <d v="2022-03-14T21:26:00"/>
    <n v="3.14"/>
    <n v="0"/>
    <s v="usd"/>
    <x v="2"/>
    <n v="3.14"/>
    <n v="0"/>
    <n v="0.39"/>
    <n v="0"/>
    <s v="usd"/>
    <s v="Paid"/>
    <m/>
    <s v="cus_LJzOB12m3ZssH3"/>
    <m/>
    <s v="cathi.friend@att.net"/>
    <b v="1"/>
    <s v="pm_1KdLPhKc9ZnUJQuyA0yJlUF9"/>
    <m/>
    <m/>
  </r>
  <r>
    <x v="26"/>
    <m/>
    <s v="Payment complete."/>
    <d v="2022-03-14T21:31:00"/>
    <n v="5"/>
    <n v="0"/>
    <s v="usd"/>
    <x v="1"/>
    <n v="5"/>
    <n v="0"/>
    <n v="0.45"/>
    <n v="0"/>
    <s v="usd"/>
    <s v="Paid"/>
    <m/>
    <s v="cus_LJzToOoQ41uk5H"/>
    <m/>
    <s v="jack715@sbcglobal.net"/>
    <b v="1"/>
    <s v="pm_1KdLURKc9ZnUJQuyXvemObNw"/>
    <m/>
    <m/>
  </r>
  <r>
    <x v="27"/>
    <m/>
    <s v="Payment complete."/>
    <d v="2022-03-14T22:22:00"/>
    <n v="3.14"/>
    <n v="0"/>
    <s v="usd"/>
    <x v="2"/>
    <n v="3.14"/>
    <n v="0"/>
    <n v="0.39"/>
    <n v="0"/>
    <s v="usd"/>
    <s v="Paid"/>
    <m/>
    <s v="cus_LK0H0FGRZgb2LT"/>
    <m/>
    <s v="jwoodson86@gmail.com"/>
    <b v="1"/>
    <s v="pm_1KdMH4Kc9ZnUJQuyU6WSDADg"/>
    <m/>
    <m/>
  </r>
  <r>
    <x v="28"/>
    <m/>
    <s v="Payment complete."/>
    <d v="2022-03-14T23:45:00"/>
    <n v="5"/>
    <n v="0"/>
    <s v="usd"/>
    <x v="1"/>
    <n v="5"/>
    <n v="0"/>
    <n v="0.45"/>
    <n v="0"/>
    <s v="usd"/>
    <s v="Paid"/>
    <m/>
    <s v="cus_LK1c6xmfP3hnZZ"/>
    <m/>
    <s v="kjstolen@yahoo.com"/>
    <b v="1"/>
    <s v="pm_1KdNZOKc9ZnUJQuyMsvum4mC"/>
    <m/>
    <m/>
  </r>
  <r>
    <x v="29"/>
    <m/>
    <s v="Payment complete."/>
    <d v="2022-03-14T23:47:00"/>
    <n v="5"/>
    <n v="0"/>
    <s v="usd"/>
    <x v="1"/>
    <n v="5"/>
    <n v="0"/>
    <n v="0.45"/>
    <n v="0"/>
    <s v="usd"/>
    <s v="Paid"/>
    <m/>
    <s v="cus_LK1f4pObeJw9Vv"/>
    <m/>
    <s v="arthuryon.1@gmail.com"/>
    <b v="1"/>
    <s v="pm_1KdNc6Kc9ZnUJQuyct1fF0ih"/>
    <m/>
    <m/>
  </r>
  <r>
    <x v="30"/>
    <m/>
    <s v="Payment complete."/>
    <d v="2022-03-14T23:53:00"/>
    <n v="5"/>
    <n v="0"/>
    <s v="usd"/>
    <x v="1"/>
    <n v="5"/>
    <n v="0"/>
    <n v="0.45"/>
    <n v="0"/>
    <s v="usd"/>
    <s v="Paid"/>
    <m/>
    <s v="cus_LK1lzTGqHuwwHD"/>
    <m/>
    <s v="johndowney31@gmail.com"/>
    <b v="1"/>
    <s v="pm_1KdNhqKc9ZnUJQuyIkZy8RNi"/>
    <m/>
    <m/>
  </r>
  <r>
    <x v="31"/>
    <m/>
    <s v="Payment complete."/>
    <d v="2022-03-15T00:00:00"/>
    <n v="4"/>
    <n v="0"/>
    <s v="usd"/>
    <x v="0"/>
    <n v="4"/>
    <n v="0"/>
    <n v="0.42"/>
    <n v="0"/>
    <s v="usd"/>
    <s v="Paid"/>
    <m/>
    <s v="cus_LK1sqM7oGc5lym"/>
    <m/>
    <s v="derouenjamie@yahoo.com"/>
    <b v="1"/>
    <s v="pm_1KdNoLKc9ZnUJQuykOQ1RGou"/>
    <m/>
    <m/>
  </r>
  <r>
    <x v="32"/>
    <m/>
    <s v="Payment complete."/>
    <d v="2022-03-15T00:29:00"/>
    <n v="5"/>
    <n v="0"/>
    <s v="usd"/>
    <x v="1"/>
    <n v="5"/>
    <n v="0"/>
    <n v="0.45"/>
    <n v="0"/>
    <s v="usd"/>
    <s v="Paid"/>
    <m/>
    <s v="cus_LK2L6jt5IistxD"/>
    <m/>
    <s v="ricoswab@gmail.com"/>
    <b v="1"/>
    <s v="pm_1KdOGfKc9ZnUJQuy8C5d0WuV"/>
    <m/>
    <m/>
  </r>
  <r>
    <x v="33"/>
    <m/>
    <s v="Payment complete."/>
    <d v="2022-03-15T00:53:00"/>
    <n v="5"/>
    <n v="0"/>
    <s v="usd"/>
    <x v="1"/>
    <n v="5"/>
    <n v="0"/>
    <n v="0.45"/>
    <n v="0"/>
    <s v="usd"/>
    <s v="Paid"/>
    <m/>
    <s v="cus_LK2jwHiLwCvwWU"/>
    <m/>
    <s v="wcmjr@comcast.net"/>
    <b v="1"/>
    <s v="pm_1KdOddKc9ZnUJQuy1zqJDOUN"/>
    <m/>
    <m/>
  </r>
  <r>
    <x v="34"/>
    <m/>
    <s v="Payment complete."/>
    <d v="2022-03-15T00:59:00"/>
    <n v="5"/>
    <n v="0"/>
    <s v="usd"/>
    <x v="1"/>
    <n v="5"/>
    <n v="0"/>
    <n v="0.45"/>
    <n v="0"/>
    <s v="usd"/>
    <s v="Paid"/>
    <m/>
    <s v="cus_LK2o5z6yf4vq5a"/>
    <m/>
    <s v="luke-bro22@hotmail.com"/>
    <b v="1"/>
    <s v="pm_1KdOjFKc9ZnUJQuyRsvi7ttn"/>
    <m/>
    <m/>
  </r>
  <r>
    <x v="35"/>
    <m/>
    <s v="Payment complete."/>
    <d v="2022-03-15T01:49:00"/>
    <n v="3.14"/>
    <n v="0"/>
    <s v="usd"/>
    <x v="2"/>
    <n v="3.14"/>
    <n v="0"/>
    <n v="0.39"/>
    <n v="0"/>
    <s v="usd"/>
    <s v="Paid"/>
    <m/>
    <s v="cus_LK3dXU90cAehre"/>
    <m/>
    <s v="tomselden@protonmail.com"/>
    <b v="1"/>
    <s v="pm_1KdPWHKc9ZnUJQuyA2EH0Vay"/>
    <m/>
    <m/>
  </r>
  <r>
    <x v="36"/>
    <m/>
    <s v="Payment complete."/>
    <d v="2022-03-15T01:53:00"/>
    <n v="5"/>
    <n v="0"/>
    <s v="usd"/>
    <x v="1"/>
    <n v="5"/>
    <n v="0"/>
    <n v="0.45"/>
    <n v="0"/>
    <s v="usd"/>
    <s v="Paid"/>
    <m/>
    <s v="cus_LK3hAsvCdlrpbZ"/>
    <m/>
    <s v="rvette70@aol.com"/>
    <b v="1"/>
    <s v="pm_1KdPaEKc9ZnUJQuyW4UY8EdK"/>
    <m/>
    <m/>
  </r>
  <r>
    <x v="37"/>
    <m/>
    <s v="Payment complete."/>
    <d v="2022-03-15T01:57:00"/>
    <n v="5"/>
    <n v="0"/>
    <s v="usd"/>
    <x v="1"/>
    <n v="5"/>
    <n v="0"/>
    <n v="0.45"/>
    <n v="0"/>
    <s v="usd"/>
    <s v="Paid"/>
    <m/>
    <s v="cus_LK3lMZmzh3QOhZ"/>
    <m/>
    <s v="jsharpe9606@gmail.com"/>
    <b v="1"/>
    <s v="pm_1KdPdwKc9ZnUJQuyldmcIvIj"/>
    <m/>
    <m/>
  </r>
  <r>
    <x v="38"/>
    <m/>
    <s v="Payment complete."/>
    <d v="2022-03-15T02:01:00"/>
    <n v="5"/>
    <n v="0"/>
    <s v="usd"/>
    <x v="1"/>
    <n v="5"/>
    <n v="0"/>
    <n v="0.45"/>
    <n v="0"/>
    <s v="usd"/>
    <s v="Paid"/>
    <m/>
    <s v="cus_LK3poeNN8KgqPX"/>
    <m/>
    <s v="firemanfleming@yahoo.com"/>
    <b v="1"/>
    <s v="pm_1KdPhkKc9ZnUJQuy1Xz8IouH"/>
    <m/>
    <m/>
  </r>
  <r>
    <x v="39"/>
    <m/>
    <s v="Payment complete."/>
    <d v="2022-03-15T08:24:00"/>
    <n v="5"/>
    <n v="0"/>
    <s v="usd"/>
    <x v="1"/>
    <n v="5"/>
    <n v="0"/>
    <n v="0.45"/>
    <n v="0"/>
    <s v="usd"/>
    <s v="Paid"/>
    <m/>
    <s v="cus_LKA0Z2IY1X2X2O"/>
    <m/>
    <s v="lightningnissan@gmail.com"/>
    <b v="1"/>
    <s v="pm_1KdVgYKc9ZnUJQuy3ytQ3WSl"/>
    <m/>
    <m/>
  </r>
  <r>
    <x v="40"/>
    <m/>
    <s v="Payment complete."/>
    <d v="2022-03-15T13:15:00"/>
    <n v="4"/>
    <n v="0"/>
    <s v="usd"/>
    <x v="0"/>
    <n v="4"/>
    <n v="0"/>
    <n v="0.42"/>
    <n v="0"/>
    <s v="usd"/>
    <s v="Paid"/>
    <m/>
    <s v="cus_LKEg6xSfROQE7a"/>
    <m/>
    <s v="dbrandon23666@yahoo.com"/>
    <b v="1"/>
    <s v="pm_1KdaDMKc9ZnUJQuyJrr3jxxi"/>
    <m/>
    <m/>
  </r>
  <r>
    <x v="41"/>
    <m/>
    <s v="Payment complete."/>
    <d v="2022-03-15T13:50:00"/>
    <n v="5"/>
    <n v="0"/>
    <s v="usd"/>
    <x v="1"/>
    <n v="5"/>
    <n v="0"/>
    <n v="0.45"/>
    <n v="0"/>
    <s v="usd"/>
    <s v="Paid"/>
    <m/>
    <s v="cus_LKFGFw8jylE5cR"/>
    <m/>
    <s v="aliciabug5@msn.com"/>
    <b v="1"/>
    <s v="pm_1Kdam0Kc9ZnUJQuygVV1utGt"/>
    <m/>
    <m/>
  </r>
  <r>
    <x v="42"/>
    <m/>
    <s v="Payment complete."/>
    <d v="2022-03-15T14:17:00"/>
    <n v="5"/>
    <n v="0"/>
    <s v="usd"/>
    <x v="1"/>
    <n v="5"/>
    <n v="0"/>
    <n v="0.45"/>
    <n v="0"/>
    <s v="usd"/>
    <s v="Paid"/>
    <m/>
    <s v="cus_LKFh9l1YMhiKwV"/>
    <m/>
    <s v="bjbuckley@rogers.com"/>
    <b v="1"/>
    <s v="pm_1KdbBpKc9ZnUJQuyJeQSpIwa"/>
    <m/>
    <m/>
  </r>
  <r>
    <x v="43"/>
    <m/>
    <s v="Payment complete."/>
    <d v="2022-03-15T14:23:00"/>
    <n v="5"/>
    <n v="0"/>
    <s v="usd"/>
    <x v="1"/>
    <n v="5"/>
    <n v="0"/>
    <n v="0.45"/>
    <n v="0"/>
    <s v="usd"/>
    <s v="Paid"/>
    <m/>
    <s v="cus_LKFlxxpSFIekiU"/>
    <m/>
    <s v="tfinnan3@gmail.com"/>
    <b v="1"/>
    <s v="pm_1KdbHpKc9ZnUJQuyO6SPU7ni"/>
    <m/>
    <m/>
  </r>
  <r>
    <x v="44"/>
    <m/>
    <s v="Payment complete."/>
    <d v="2022-03-15T14:27:00"/>
    <n v="5"/>
    <n v="0"/>
    <s v="usd"/>
    <x v="1"/>
    <n v="5"/>
    <n v="0"/>
    <n v="0.45"/>
    <n v="0"/>
    <s v="usd"/>
    <s v="Paid"/>
    <m/>
    <s v="cus_LKFrg1W9Panb7r"/>
    <m/>
    <s v="sims74538@gmail.com"/>
    <b v="1"/>
    <s v="pm_1KdbLNKc9ZnUJQuy62UHp6bs"/>
    <m/>
    <m/>
  </r>
  <r>
    <x v="45"/>
    <m/>
    <s v="Payment complete."/>
    <d v="2022-03-15T14:41:00"/>
    <n v="5"/>
    <n v="0"/>
    <s v="usd"/>
    <x v="1"/>
    <n v="5"/>
    <n v="0"/>
    <n v="0.45"/>
    <n v="0"/>
    <s v="usd"/>
    <s v="Paid"/>
    <m/>
    <s v="cus_LKG5dN0ZDTgzia"/>
    <m/>
    <s v="gralbano@gmail.com"/>
    <b v="1"/>
    <s v="pm_1KdbZHKc9ZnUJQuy8vZaUljq"/>
    <m/>
    <m/>
  </r>
  <r>
    <x v="46"/>
    <m/>
    <s v="Payment complete."/>
    <d v="2022-03-15T15:18:00"/>
    <n v="5"/>
    <n v="0"/>
    <s v="usd"/>
    <x v="1"/>
    <n v="5"/>
    <n v="0"/>
    <n v="0.45"/>
    <n v="0"/>
    <s v="usd"/>
    <s v="Paid"/>
    <m/>
    <s v="cus_LKGgFrt0svXIXP"/>
    <m/>
    <s v="henry.s0563@gmail.com"/>
    <b v="1"/>
    <s v="pm_1Kdc9BKc9ZnUJQuyna8bQDJY"/>
    <m/>
    <m/>
  </r>
  <r>
    <x v="47"/>
    <m/>
    <s v="Payment complete."/>
    <d v="2022-03-15T15:29:00"/>
    <n v="5"/>
    <n v="0"/>
    <s v="usd"/>
    <x v="1"/>
    <n v="5"/>
    <n v="0"/>
    <n v="0.45"/>
    <n v="0"/>
    <s v="usd"/>
    <s v="Paid"/>
    <m/>
    <s v="cus_LKGr7tzaRff5MT"/>
    <m/>
    <s v="mike@amgms.com"/>
    <b v="1"/>
    <s v="pm_1KdcJQKc9ZnUJQuyagoApqz4"/>
    <m/>
    <m/>
  </r>
  <r>
    <x v="48"/>
    <m/>
    <s v="Payment complete."/>
    <d v="2022-03-15T16:57:00"/>
    <n v="5"/>
    <n v="0"/>
    <s v="usd"/>
    <x v="1"/>
    <n v="5"/>
    <n v="0"/>
    <n v="0.45"/>
    <n v="0"/>
    <s v="usd"/>
    <s v="Paid"/>
    <m/>
    <s v="cus_LKIHErXY2gX58v"/>
    <m/>
    <s v="tropicshades@gmail.com"/>
    <b v="1"/>
    <s v="pm_1KddgSKc9ZnUJQuyXl6mZNol"/>
    <m/>
    <m/>
  </r>
  <r>
    <x v="49"/>
    <m/>
    <s v="Payment complete."/>
    <d v="2022-03-15T17:06:00"/>
    <n v="5"/>
    <n v="0"/>
    <s v="usd"/>
    <x v="1"/>
    <n v="5"/>
    <n v="0"/>
    <n v="0.45"/>
    <n v="0"/>
    <s v="usd"/>
    <s v="Paid"/>
    <m/>
    <s v="cus_LKIQYUlvkP5lMv"/>
    <m/>
    <s v="rtgordon22@hotmail.com"/>
    <b v="1"/>
    <s v="pm_1KddpLKc9ZnUJQuyOc3Qoryb"/>
    <m/>
    <m/>
  </r>
  <r>
    <x v="50"/>
    <m/>
    <s v="Payment complete."/>
    <d v="2022-03-15T17:37:00"/>
    <n v="5"/>
    <n v="0"/>
    <s v="usd"/>
    <x v="1"/>
    <n v="5"/>
    <n v="0"/>
    <n v="0.45"/>
    <n v="0"/>
    <s v="usd"/>
    <s v="Paid"/>
    <m/>
    <s v="cus_LKIvwSPBlKoXOk"/>
    <m/>
    <s v="mdawoud2013@fau.edu"/>
    <b v="1"/>
    <s v="pm_1KdeJVKc9ZnUJQuyepdnomxo"/>
    <m/>
    <m/>
  </r>
  <r>
    <x v="51"/>
    <m/>
    <s v="Payment complete."/>
    <d v="2022-03-15T18:01:00"/>
    <n v="5"/>
    <n v="0"/>
    <s v="usd"/>
    <x v="1"/>
    <n v="5"/>
    <n v="0"/>
    <n v="0.45"/>
    <n v="0"/>
    <s v="usd"/>
    <s v="Paid"/>
    <m/>
    <s v="cus_LKJHsE3qJOvq83"/>
    <m/>
    <s v="swatts@ehub.com"/>
    <b v="1"/>
    <s v="pm_1KdegmKc9ZnUJQuywioPdfv4"/>
    <m/>
    <m/>
  </r>
  <r>
    <x v="52"/>
    <m/>
    <s v="Payment complete."/>
    <d v="2022-03-15T18:33:00"/>
    <n v="5"/>
    <n v="0"/>
    <s v="usd"/>
    <x v="1"/>
    <n v="5"/>
    <n v="0"/>
    <n v="0.45"/>
    <n v="0"/>
    <s v="usd"/>
    <s v="Paid"/>
    <m/>
    <s v="cus_LKJpIP5fzs6h6e"/>
    <m/>
    <s v="tmiremont@bellsouth.net"/>
    <b v="1"/>
    <s v="pm_1KdfBLKc9ZnUJQuybTBWl7o3"/>
    <m/>
    <m/>
  </r>
  <r>
    <x v="53"/>
    <m/>
    <s v="Payment complete."/>
    <d v="2022-03-16T01:02:00"/>
    <n v="5"/>
    <n v="0"/>
    <s v="usd"/>
    <x v="1"/>
    <n v="5"/>
    <n v="0"/>
    <n v="0.45"/>
    <n v="0"/>
    <s v="usd"/>
    <s v="Paid"/>
    <m/>
    <s v="cus_LKQ60yUD290PNu"/>
    <m/>
    <s v="josephp333@gmail.com"/>
    <b v="1"/>
    <s v="pm_1KdlFvKc9ZnUJQuyyG1SRJ9R"/>
    <m/>
    <m/>
  </r>
  <r>
    <x v="54"/>
    <m/>
    <s v="Payment complete."/>
    <d v="2022-03-16T02:07:00"/>
    <n v="5"/>
    <n v="0"/>
    <s v="usd"/>
    <x v="1"/>
    <n v="5"/>
    <n v="0"/>
    <n v="0.45"/>
    <n v="0"/>
    <s v="usd"/>
    <s v="Paid"/>
    <m/>
    <s v="cus_LKR9v1Fycleqo4"/>
    <m/>
    <s v="beierbw@aol.com"/>
    <b v="1"/>
    <s v="pm_1KdmH1Kc9ZnUJQuyczVzbZ5E"/>
    <m/>
    <m/>
  </r>
  <r>
    <x v="55"/>
    <m/>
    <s v="Payment complete."/>
    <d v="2022-03-16T02:19:00"/>
    <n v="5"/>
    <n v="0"/>
    <s v="usd"/>
    <x v="1"/>
    <n v="5"/>
    <n v="0"/>
    <n v="0.45"/>
    <n v="0"/>
    <s v="usd"/>
    <s v="Paid"/>
    <m/>
    <s v="cus_LKRKH0ns0OHDJW"/>
    <m/>
    <s v="websterism@gmail.com"/>
    <b v="1"/>
    <s v="pm_1KdmS4Kc9ZnUJQuyQAmcsZPr"/>
    <m/>
    <m/>
  </r>
  <r>
    <x v="56"/>
    <m/>
    <s v="Payment complete."/>
    <d v="2022-03-16T02:26:00"/>
    <n v="5"/>
    <n v="0"/>
    <s v="usd"/>
    <x v="1"/>
    <n v="5"/>
    <n v="0"/>
    <n v="0.45"/>
    <n v="0"/>
    <s v="usd"/>
    <s v="Paid"/>
    <m/>
    <s v="cus_LKRRJgtNitu6JH"/>
    <m/>
    <s v="rick@langenek.com"/>
    <b v="1"/>
    <s v="pm_1KdmZ1Kc9ZnUJQuyL9r5t95e"/>
    <m/>
    <m/>
  </r>
  <r>
    <x v="57"/>
    <m/>
    <s v="Payment complete."/>
    <d v="2022-03-16T02:41:00"/>
    <n v="5"/>
    <n v="0"/>
    <s v="usd"/>
    <x v="1"/>
    <n v="5"/>
    <n v="0"/>
    <n v="0.45"/>
    <n v="0"/>
    <s v="usd"/>
    <s v="Paid"/>
    <m/>
    <s v="cus_LKRh6UvnnANAvX"/>
    <m/>
    <s v="panderson@andersoneconomicgroup.com"/>
    <b v="1"/>
    <s v="pm_1KdmoAKc9ZnUJQuybxp4pdvF"/>
    <m/>
    <m/>
  </r>
  <r>
    <x v="58"/>
    <m/>
    <s v="Payment complete."/>
    <d v="2022-03-16T02:48:00"/>
    <n v="5"/>
    <n v="0"/>
    <s v="usd"/>
    <x v="1"/>
    <n v="5"/>
    <n v="0"/>
    <n v="0.45"/>
    <n v="0"/>
    <s v="usd"/>
    <s v="Paid"/>
    <m/>
    <s v="cus_LKRn5JtHOsraF2"/>
    <m/>
    <s v="neal.p.anderson@gmail.com"/>
    <b v="1"/>
    <s v="pm_1Kdmu7Kc9ZnUJQuy7n6e9l5q"/>
    <m/>
    <m/>
  </r>
  <r>
    <x v="59"/>
    <m/>
    <s v="Payment complete."/>
    <d v="2022-03-16T04:01:00"/>
    <n v="5"/>
    <n v="0"/>
    <s v="usd"/>
    <x v="1"/>
    <n v="5"/>
    <n v="0"/>
    <n v="0.45"/>
    <n v="0"/>
    <s v="usd"/>
    <s v="Paid"/>
    <m/>
    <s v="cus_LKSyTERzGmYCeG"/>
    <m/>
    <s v="ahphot.o.vi.d.e.o@gmail.com"/>
    <b v="1"/>
    <s v="pm_1Kdo2mKc9ZnUJQuyO2b88dJ8"/>
    <m/>
    <m/>
  </r>
  <r>
    <x v="60"/>
    <m/>
    <s v="Payment complete."/>
    <d v="2022-03-16T12:41:00"/>
    <n v="4"/>
    <n v="0"/>
    <s v="usd"/>
    <x v="0"/>
    <n v="4"/>
    <n v="0"/>
    <n v="0.42"/>
    <n v="0"/>
    <s v="usd"/>
    <s v="Paid"/>
    <m/>
    <s v="cus_LKbN6ltcfkCjac"/>
    <m/>
    <s v="vanzinski2000@yahoo.com"/>
    <b v="1"/>
    <s v="pm_1KdwAHKc9ZnUJQuyRg8hAQnW"/>
    <m/>
    <m/>
  </r>
  <r>
    <x v="61"/>
    <m/>
    <s v="Payment complete."/>
    <d v="2022-03-16T12:55:00"/>
    <n v="4"/>
    <n v="0"/>
    <s v="usd"/>
    <x v="0"/>
    <n v="4"/>
    <n v="0"/>
    <n v="0.42"/>
    <n v="0"/>
    <s v="usd"/>
    <s v="Paid"/>
    <m/>
    <s v="cus_LKbbyrj1zEf1Zl"/>
    <m/>
    <s v="bharwood2811@gmail.com"/>
    <b v="1"/>
    <s v="pm_1KdwOPKc9ZnUJQuyHpbplnLv"/>
    <m/>
    <m/>
  </r>
  <r>
    <x v="62"/>
    <m/>
    <s v="Payment complete."/>
    <d v="2022-03-16T15:45:00"/>
    <n v="5"/>
    <n v="0"/>
    <s v="usd"/>
    <x v="1"/>
    <n v="5"/>
    <n v="0"/>
    <n v="0.45"/>
    <n v="0"/>
    <s v="usd"/>
    <s v="Paid"/>
    <m/>
    <s v="cus_LKeKiWXv2aEOEp"/>
    <m/>
    <s v="dacardino@gmail.com"/>
    <b v="1"/>
    <s v="pm_1Kdz20Kc9ZnUJQuy6YoLsRa0"/>
    <m/>
    <m/>
  </r>
  <r>
    <x v="63"/>
    <m/>
    <s v="Payment complete."/>
    <d v="2022-03-16T15:53:00"/>
    <n v="5"/>
    <n v="0"/>
    <s v="usd"/>
    <x v="1"/>
    <n v="5"/>
    <n v="0"/>
    <n v="0.45"/>
    <n v="0"/>
    <s v="usd"/>
    <s v="Paid"/>
    <m/>
    <s v="cus_LKeTn33lyMyNbA"/>
    <m/>
    <s v="dallas_marley@yahoo.com"/>
    <b v="1"/>
    <s v="pm_1KdzAHKc9ZnUJQuyh1Ofwwl4"/>
    <m/>
    <m/>
  </r>
  <r>
    <x v="64"/>
    <m/>
    <s v="Payment complete."/>
    <d v="2022-03-16T16:12:00"/>
    <n v="5"/>
    <n v="0"/>
    <s v="usd"/>
    <x v="1"/>
    <n v="5"/>
    <n v="0"/>
    <n v="0.45"/>
    <n v="0"/>
    <s v="usd"/>
    <s v="Paid"/>
    <m/>
    <s v="cus_LKemis5QJB8D2a"/>
    <m/>
    <s v="dvdoyal02@yahoo.com"/>
    <b v="1"/>
    <s v="pm_1KdzSxKc9ZnUJQuyoNee6O6A"/>
    <m/>
    <m/>
  </r>
  <r>
    <x v="65"/>
    <m/>
    <s v="Payment complete."/>
    <d v="2022-03-16T17:57:00"/>
    <n v="5"/>
    <n v="0"/>
    <s v="usd"/>
    <x v="1"/>
    <n v="5"/>
    <n v="0"/>
    <n v="0.45"/>
    <n v="0"/>
    <s v="usd"/>
    <s v="Paid"/>
    <m/>
    <s v="cus_LKgTxWmHgrDHZ1"/>
    <m/>
    <s v="mikedlott@yahoo.com"/>
    <b v="1"/>
    <s v="pm_1Ke16BKc9ZnUJQuyFbqChEgj"/>
    <m/>
    <m/>
  </r>
  <r>
    <x v="66"/>
    <m/>
    <s v="Payment complete."/>
    <d v="2022-03-16T18:32:00"/>
    <n v="4"/>
    <n v="0"/>
    <s v="usd"/>
    <x v="0"/>
    <n v="4"/>
    <n v="0"/>
    <n v="0.42"/>
    <n v="0"/>
    <s v="usd"/>
    <s v="Paid"/>
    <m/>
    <s v="cus_LKh2nQ4EaoLzQN"/>
    <m/>
    <s v="larryk1105@yahoo.com"/>
    <b v="1"/>
    <s v="pm_1Ke1e4Kc9ZnUJQuyxSEM1ETb"/>
    <m/>
    <m/>
  </r>
  <r>
    <x v="67"/>
    <m/>
    <s v="Payment complete."/>
    <d v="2022-03-16T19:13:00"/>
    <n v="4"/>
    <n v="0"/>
    <s v="usd"/>
    <x v="0"/>
    <n v="4"/>
    <n v="0"/>
    <n v="0.42"/>
    <n v="0"/>
    <s v="usd"/>
    <s v="Paid"/>
    <m/>
    <s v="cus_LKhgNzDAZUn6i7"/>
    <m/>
    <s v="kelly.tripp23@gmail.com"/>
    <b v="1"/>
    <s v="pm_1Ke2HZKc9ZnUJQuyYGtv59G0"/>
    <m/>
    <m/>
  </r>
  <r>
    <x v="68"/>
    <m/>
    <s v="Payment complete."/>
    <d v="2022-03-16T19:25:00"/>
    <n v="5"/>
    <n v="0"/>
    <s v="usd"/>
    <x v="1"/>
    <n v="5"/>
    <n v="0"/>
    <n v="0.45"/>
    <n v="0"/>
    <s v="usd"/>
    <s v="Paid"/>
    <m/>
    <s v="cus_LKhtIPZ8LxQYBP"/>
    <m/>
    <s v="mwilman1119@gmail.com"/>
    <b v="1"/>
    <s v="pm_1Ke2TOKc9ZnUJQuy9WQfvCM6"/>
    <m/>
    <m/>
  </r>
  <r>
    <x v="69"/>
    <m/>
    <s v="Payment complete."/>
    <d v="2022-03-16T19:40:00"/>
    <n v="5"/>
    <n v="0"/>
    <s v="usd"/>
    <x v="1"/>
    <n v="5"/>
    <n v="0"/>
    <n v="0.45"/>
    <n v="0"/>
    <s v="usd"/>
    <s v="Paid"/>
    <m/>
    <s v="cus_LKi7MNdGgJHCMe"/>
    <m/>
    <s v="ewelch@germain.com"/>
    <b v="1"/>
    <s v="pm_1Ke2hYKc9ZnUJQuy4XtpEtq2"/>
    <m/>
    <m/>
  </r>
  <r>
    <x v="70"/>
    <m/>
    <s v="Payment complete."/>
    <d v="2022-03-16T21:38:00"/>
    <n v="5"/>
    <n v="0"/>
    <s v="usd"/>
    <x v="1"/>
    <n v="5"/>
    <n v="0"/>
    <n v="0.45"/>
    <n v="0"/>
    <s v="usd"/>
    <s v="Paid"/>
    <m/>
    <s v="cus_LKk2cd8tBOCOpj"/>
    <m/>
    <s v="matthias.smith@hotmail.com"/>
    <b v="1"/>
    <s v="pm_1Ke4YTKc9ZnUJQuyAQqHPJXz"/>
    <m/>
    <m/>
  </r>
  <r>
    <x v="71"/>
    <m/>
    <s v="Payment complete."/>
    <d v="2022-03-16T23:20:00"/>
    <n v="4"/>
    <n v="0"/>
    <s v="usd"/>
    <x v="0"/>
    <n v="4"/>
    <n v="0"/>
    <n v="0.42"/>
    <n v="0"/>
    <s v="usd"/>
    <s v="Paid"/>
    <m/>
    <s v="cus_LKlgHLOVREIFUU"/>
    <m/>
    <s v="selctrojl@yahoo.com"/>
    <b v="1"/>
    <s v="pm_1Ke69BKc9ZnUJQuybF8wq0oH"/>
    <m/>
    <m/>
  </r>
  <r>
    <x v="72"/>
    <m/>
    <s v="Payment complete."/>
    <d v="2022-03-17T00:13:00"/>
    <n v="5"/>
    <n v="0"/>
    <s v="usd"/>
    <x v="1"/>
    <n v="5"/>
    <n v="0"/>
    <n v="0.45"/>
    <n v="0"/>
    <s v="usd"/>
    <s v="Paid"/>
    <m/>
    <s v="cus_LKmXKmJWrCnCVZ"/>
    <m/>
    <s v="scheinbob@gmail.com"/>
    <b v="1"/>
    <s v="pm_1Ke6ySKc9ZnUJQuyGEn4TNyr"/>
    <m/>
    <m/>
  </r>
  <r>
    <x v="73"/>
    <m/>
    <s v="Payment complete."/>
    <d v="2022-03-17T00:36:00"/>
    <n v="5"/>
    <n v="0"/>
    <s v="usd"/>
    <x v="1"/>
    <n v="5"/>
    <n v="0"/>
    <n v="0.45"/>
    <n v="0"/>
    <s v="usd"/>
    <s v="Paid"/>
    <m/>
    <s v="cus_LKmuYwPE81cAOW"/>
    <m/>
    <s v="andypaulson1@gmail.com"/>
    <b v="1"/>
    <s v="pm_1Ke7KQKc9ZnUJQuyPCAZ3V0E"/>
    <m/>
    <m/>
  </r>
  <r>
    <x v="74"/>
    <m/>
    <s v="Payment complete."/>
    <d v="2022-03-17T01:04:00"/>
    <n v="5"/>
    <n v="0"/>
    <s v="usd"/>
    <x v="1"/>
    <n v="5"/>
    <n v="0"/>
    <n v="0.45"/>
    <n v="0"/>
    <s v="usd"/>
    <s v="Paid"/>
    <m/>
    <s v="cus_LKnLFJkWCV0AyA"/>
    <m/>
    <s v="clemtyl@yahoo.com"/>
    <b v="1"/>
    <s v="pm_1Ke7lBKc9ZnUJQuyGLhgKeh5"/>
    <m/>
    <m/>
  </r>
  <r>
    <x v="75"/>
    <m/>
    <s v="Payment complete."/>
    <d v="2022-03-17T01:12:00"/>
    <n v="5"/>
    <n v="0"/>
    <s v="usd"/>
    <x v="1"/>
    <n v="5"/>
    <n v="0"/>
    <n v="0.45"/>
    <n v="0"/>
    <s v="usd"/>
    <s v="Paid"/>
    <m/>
    <s v="cus_LKnUaZw3EueDXZ"/>
    <m/>
    <s v="seman8@aol.com"/>
    <b v="1"/>
    <s v="pm_1Ke7tIKc9ZnUJQuydjoi0Naf"/>
    <m/>
    <m/>
  </r>
  <r>
    <x v="76"/>
    <m/>
    <s v="Payment complete."/>
    <d v="2022-03-17T01:22:00"/>
    <n v="5"/>
    <n v="0"/>
    <s v="usd"/>
    <x v="1"/>
    <n v="5"/>
    <n v="0"/>
    <n v="0.45"/>
    <n v="0"/>
    <s v="usd"/>
    <s v="Paid"/>
    <m/>
    <s v="cus_LKner8EiaiWSkH"/>
    <m/>
    <s v="rmeliticlash@gmail.com"/>
    <b v="1"/>
    <s v="pm_1Ke836Kc9ZnUJQuyNU8h5WoF"/>
    <m/>
    <m/>
  </r>
  <r>
    <x v="77"/>
    <m/>
    <s v="Payment complete."/>
    <d v="2022-03-17T01:31:00"/>
    <n v="5"/>
    <n v="0"/>
    <s v="usd"/>
    <x v="1"/>
    <n v="5"/>
    <n v="0"/>
    <n v="0.45"/>
    <n v="0"/>
    <s v="usd"/>
    <s v="Paid"/>
    <m/>
    <s v="cus_LKnnHaSuBH3eRC"/>
    <m/>
    <s v="jackson.brayman@gmail.com"/>
    <b v="1"/>
    <s v="pm_1Ke8BkKc9ZnUJQuyg4O8zqSu"/>
    <m/>
    <m/>
  </r>
  <r>
    <x v="78"/>
    <m/>
    <s v="Payment complete."/>
    <d v="2022-03-17T01:51:00"/>
    <n v="5"/>
    <n v="0"/>
    <s v="usd"/>
    <x v="1"/>
    <n v="5"/>
    <n v="0"/>
    <n v="0.45"/>
    <n v="0"/>
    <s v="usd"/>
    <s v="Paid"/>
    <m/>
    <s v="cus_LKo7BnCtM4a01f"/>
    <m/>
    <s v="jonathan94002@gmail.com"/>
    <b v="1"/>
    <s v="pm_1Ke8UzKc9ZnUJQuylkHMWkf5"/>
    <m/>
    <m/>
  </r>
  <r>
    <x v="79"/>
    <m/>
    <s v="Payment complete."/>
    <d v="2022-03-17T01:57:00"/>
    <n v="5"/>
    <n v="0"/>
    <s v="usd"/>
    <x v="1"/>
    <n v="5"/>
    <n v="0"/>
    <n v="0.45"/>
    <n v="0"/>
    <s v="usd"/>
    <s v="Paid"/>
    <m/>
    <s v="cus_LKoDKjSnfcNJWp"/>
    <m/>
    <s v="cmaksym@umich.edu"/>
    <b v="1"/>
    <s v="pm_1Ke8b2Kc9ZnUJQuyKq1rakDU"/>
    <m/>
    <m/>
  </r>
  <r>
    <x v="80"/>
    <m/>
    <s v="Payment complete."/>
    <d v="2022-03-17T02:10:00"/>
    <n v="5"/>
    <n v="0"/>
    <s v="usd"/>
    <x v="1"/>
    <n v="5"/>
    <n v="0"/>
    <n v="0.45"/>
    <n v="0"/>
    <s v="usd"/>
    <s v="Paid"/>
    <m/>
    <s v="cus_LKoQVmTyOMnpik"/>
    <m/>
    <s v="schoop.ryan@gmail.com"/>
    <b v="1"/>
    <s v="pm_1Ke8nEKc9ZnUJQuyJPZPELiW"/>
    <m/>
    <m/>
  </r>
  <r>
    <x v="81"/>
    <m/>
    <s v="Payment complete."/>
    <d v="2022-03-17T02:11:00"/>
    <n v="5"/>
    <n v="0"/>
    <s v="usd"/>
    <x v="1"/>
    <n v="5"/>
    <n v="0"/>
    <n v="0.45"/>
    <n v="0"/>
    <s v="usd"/>
    <s v="Paid"/>
    <m/>
    <s v="cus_LKoRa5Ov0JgLbh"/>
    <m/>
    <s v="husk0013@gmail.com"/>
    <b v="1"/>
    <s v="pm_1Ke8odKc9ZnUJQuyud8ohOGB"/>
    <m/>
    <m/>
  </r>
  <r>
    <x v="82"/>
    <m/>
    <s v="Payment complete."/>
    <d v="2022-03-17T02:20:00"/>
    <n v="5"/>
    <n v="0"/>
    <s v="usd"/>
    <x v="1"/>
    <n v="5"/>
    <n v="0"/>
    <n v="0.45"/>
    <n v="0"/>
    <s v="usd"/>
    <s v="Paid"/>
    <m/>
    <s v="cus_LKoa1ofAos9C3R"/>
    <m/>
    <s v="feaglm22@gmail.com"/>
    <b v="1"/>
    <s v="pm_1Ke8x9Kc9ZnUJQuyAyFPZ3t9"/>
    <m/>
    <m/>
  </r>
  <r>
    <x v="83"/>
    <m/>
    <s v="Payment complete."/>
    <d v="2022-03-17T02:45:00"/>
    <n v="5"/>
    <n v="0"/>
    <s v="usd"/>
    <x v="1"/>
    <n v="5"/>
    <n v="0"/>
    <n v="0.45"/>
    <n v="0"/>
    <s v="usd"/>
    <s v="Paid"/>
    <m/>
    <s v="cus_LKoz6QrhpnP5o6"/>
    <m/>
    <s v="dnhanson@comcast.net"/>
    <b v="1"/>
    <s v="pm_1Ke9LAKc9ZnUJQuy29vutErA"/>
    <m/>
    <m/>
  </r>
  <r>
    <x v="84"/>
    <m/>
    <s v="Payment complete."/>
    <d v="2022-03-17T02:51:00"/>
    <n v="5"/>
    <n v="0"/>
    <s v="usd"/>
    <x v="1"/>
    <n v="5"/>
    <n v="0"/>
    <n v="0.45"/>
    <n v="0"/>
    <s v="usd"/>
    <s v="Paid"/>
    <m/>
    <s v="cus_LKp5kzeKZq3l3U"/>
    <m/>
    <s v="rbatkins@umich.edu"/>
    <b v="1"/>
    <s v="pm_1Ke9REKc9ZnUJQuyomPjZsGG"/>
    <m/>
    <m/>
  </r>
  <r>
    <x v="85"/>
    <m/>
    <s v="Payment complete."/>
    <d v="2022-03-17T03:40:00"/>
    <n v="5"/>
    <n v="0"/>
    <s v="usd"/>
    <x v="1"/>
    <n v="5"/>
    <n v="0"/>
    <n v="0.45"/>
    <n v="0"/>
    <s v="usd"/>
    <s v="Paid"/>
    <m/>
    <s v="cus_LKpsyppceeqYvt"/>
    <m/>
    <s v="corykap@gmail.com"/>
    <b v="1"/>
    <s v="pm_1KeACFKc9ZnUJQuyMxsZoDcC"/>
    <m/>
    <m/>
  </r>
  <r>
    <x v="86"/>
    <m/>
    <s v="Payment complete."/>
    <d v="2022-03-17T04:50:00"/>
    <n v="4"/>
    <n v="0"/>
    <s v="usd"/>
    <x v="0"/>
    <n v="4"/>
    <n v="0"/>
    <n v="0.42"/>
    <n v="0"/>
    <s v="usd"/>
    <s v="Paid"/>
    <m/>
    <s v="cus_LKr0fumFcheeaJ"/>
    <m/>
    <s v="rcdiehl@me.com"/>
    <b v="1"/>
    <s v="pm_1KeBIFKc9ZnUJQuyFRY93LgG"/>
    <m/>
    <m/>
  </r>
  <r>
    <x v="87"/>
    <m/>
    <s v="Payment complete."/>
    <d v="2022-03-17T06:50:00"/>
    <n v="5"/>
    <n v="0"/>
    <s v="usd"/>
    <x v="1"/>
    <n v="5"/>
    <n v="0"/>
    <n v="0.45"/>
    <n v="0"/>
    <s v="usd"/>
    <s v="Paid"/>
    <m/>
    <s v="cus_LKswKZybioZdtu"/>
    <m/>
    <s v="robbato9@gmail.com"/>
    <b v="1"/>
    <s v="pm_1KeDASKc9ZnUJQuy8ye3DFrN"/>
    <m/>
    <m/>
  </r>
  <r>
    <x v="88"/>
    <m/>
    <s v="Payment complete."/>
    <d v="2022-03-17T09:55:00"/>
    <n v="5"/>
    <n v="0"/>
    <s v="usd"/>
    <x v="1"/>
    <n v="5"/>
    <n v="0"/>
    <n v="0.45"/>
    <n v="0"/>
    <s v="usd"/>
    <s v="Paid"/>
    <m/>
    <s v="cus_LKvvtWI7CsowIm"/>
    <m/>
    <s v="ron.papka@gmail.com"/>
    <b v="1"/>
    <s v="pm_1KeG3dKc9ZnUJQuys7BVcinO"/>
    <m/>
    <m/>
  </r>
  <r>
    <x v="89"/>
    <m/>
    <s v="Payment complete."/>
    <d v="2022-03-17T11:24:00"/>
    <n v="5"/>
    <n v="0"/>
    <s v="usd"/>
    <x v="1"/>
    <n v="5"/>
    <n v="0"/>
    <n v="0.45"/>
    <n v="0"/>
    <s v="usd"/>
    <s v="Paid"/>
    <m/>
    <s v="cus_LKxM4njgKHzkQF"/>
    <m/>
    <s v="rmiller8@eastern.edu"/>
    <b v="1"/>
    <s v="pm_1KeHRZKc9ZnUJQuyhH3QfwTY"/>
    <m/>
    <m/>
  </r>
  <r>
    <x v="90"/>
    <m/>
    <s v="Payment complete."/>
    <d v="2022-03-17T14:02:00"/>
    <n v="5"/>
    <n v="0"/>
    <s v="usd"/>
    <x v="1"/>
    <n v="5"/>
    <n v="0"/>
    <n v="0.45"/>
    <n v="0"/>
    <s v="usd"/>
    <s v="Paid"/>
    <m/>
    <s v="cus_LKzuyMTuFcNo3J"/>
    <m/>
    <s v="mattlanglois1@gmail.com"/>
    <b v="1"/>
    <s v="pm_1KeJuiKc9ZnUJQuyJEm2SzpF"/>
    <m/>
    <m/>
  </r>
  <r>
    <x v="91"/>
    <m/>
    <s v="Payment complete."/>
    <d v="2022-03-17T14:14:00"/>
    <n v="4"/>
    <n v="0"/>
    <s v="usd"/>
    <x v="3"/>
    <n v="4"/>
    <n v="0"/>
    <n v="0.42"/>
    <n v="0"/>
    <s v="usd"/>
    <s v="Paid"/>
    <m/>
    <s v="cus_LL06b2ieFUFsCl"/>
    <m/>
    <s v="dumpyguy@gmail.com"/>
    <b v="1"/>
    <s v="pm_1KeK6BKc9ZnUJQuyoNcB7CRF"/>
    <m/>
    <m/>
  </r>
  <r>
    <x v="92"/>
    <m/>
    <s v="Payment complete."/>
    <d v="2022-03-17T14:21:00"/>
    <n v="5"/>
    <n v="0"/>
    <s v="usd"/>
    <x v="1"/>
    <n v="5"/>
    <n v="0"/>
    <n v="0.45"/>
    <n v="0"/>
    <s v="usd"/>
    <s v="Paid"/>
    <m/>
    <s v="cus_LL0CKgHrKPrWqm"/>
    <m/>
    <s v="andyraffel@gmail.com"/>
    <b v="1"/>
    <s v="pm_1KeKCIKc9ZnUJQuybaei2D8k"/>
    <m/>
    <m/>
  </r>
  <r>
    <x v="93"/>
    <m/>
    <s v="Payment complete."/>
    <d v="2022-03-17T14:26:00"/>
    <n v="4"/>
    <n v="0"/>
    <s v="usd"/>
    <x v="0"/>
    <n v="4"/>
    <n v="0"/>
    <n v="0.42"/>
    <n v="0"/>
    <s v="usd"/>
    <s v="Paid"/>
    <m/>
    <s v="cus_LL0I8xTm3PNvGb"/>
    <m/>
    <s v="christian.estevez@dhl.com"/>
    <b v="1"/>
    <s v="pm_1KeKHnKc9ZnUJQuyuq56kgLx"/>
    <m/>
    <m/>
  </r>
  <r>
    <x v="94"/>
    <m/>
    <s v="Payment complete."/>
    <d v="2022-03-17T14:40:00"/>
    <n v="5"/>
    <n v="0"/>
    <s v="usd"/>
    <x v="1"/>
    <n v="5"/>
    <n v="0"/>
    <n v="0.45"/>
    <n v="0"/>
    <s v="usd"/>
    <s v="Paid"/>
    <m/>
    <s v="cus_LL0VyJZtERQz24"/>
    <m/>
    <s v="bmb0499@gmail.com"/>
    <b v="1"/>
    <s v="pm_1KeKUgKc9ZnUJQuyGmrHgdCp"/>
    <m/>
    <m/>
  </r>
  <r>
    <x v="95"/>
    <m/>
    <s v="Payment complete."/>
    <d v="2022-03-17T14:58:00"/>
    <n v="5"/>
    <n v="0"/>
    <s v="usd"/>
    <x v="1"/>
    <n v="5"/>
    <n v="0"/>
    <n v="0.45"/>
    <n v="0"/>
    <s v="usd"/>
    <s v="Paid"/>
    <m/>
    <s v="cus_LL0nBINx96KUFr"/>
    <m/>
    <s v="kennypattersoniii@yahoo.com"/>
    <b v="1"/>
    <s v="pm_1KeKm7Kc9ZnUJQuyrMQtAsoU"/>
    <m/>
    <m/>
  </r>
  <r>
    <x v="96"/>
    <m/>
    <s v="Payment complete."/>
    <d v="2022-03-17T15:05:00"/>
    <n v="4"/>
    <n v="0"/>
    <s v="usd"/>
    <x v="0"/>
    <n v="4"/>
    <n v="0"/>
    <n v="0.42"/>
    <n v="0"/>
    <s v="usd"/>
    <s v="Paid"/>
    <m/>
    <s v="cus_LL0vZn0HIPOm7i"/>
    <m/>
    <s v="egonzo777@yahoo.com"/>
    <b v="1"/>
    <s v="pm_1KeKtcKc9ZnUJQuyWeZ1zaBX"/>
    <m/>
    <m/>
  </r>
  <r>
    <x v="97"/>
    <m/>
    <s v="Payment complete."/>
    <d v="2022-03-17T15:10:00"/>
    <n v="5"/>
    <n v="0"/>
    <s v="usd"/>
    <x v="1"/>
    <n v="5"/>
    <n v="0"/>
    <n v="0.45"/>
    <n v="0"/>
    <s v="usd"/>
    <s v="Paid"/>
    <m/>
    <s v="cus_LL0zaZN2rZzUky"/>
    <m/>
    <s v="canello.marco@gmail.com"/>
    <b v="1"/>
    <s v="pm_1KeKxuKc9ZnUJQuyLhgo8LpR"/>
    <m/>
    <m/>
  </r>
  <r>
    <x v="98"/>
    <m/>
    <s v="Payment complete."/>
    <d v="2022-03-17T16:43:00"/>
    <n v="5"/>
    <n v="0"/>
    <s v="usd"/>
    <x v="1"/>
    <n v="5"/>
    <n v="0"/>
    <n v="0.45"/>
    <n v="0"/>
    <s v="usd"/>
    <s v="Paid"/>
    <m/>
    <s v="cus_LL2VUsUq1tma8t"/>
    <m/>
    <s v="gregahsue@gmail.com"/>
    <b v="1"/>
    <s v="pm_1KeMQZKc9ZnUJQuyT4Jii4Qa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m/>
    <s v="Payment complete."/>
    <d v="2021-03-19T15:39:00"/>
    <x v="0"/>
    <n v="5"/>
    <n v="0"/>
    <s v="usd"/>
    <n v="5"/>
    <n v="0"/>
    <n v="0.45"/>
    <n v="0"/>
    <s v="usd"/>
    <s v="Paid"/>
    <m/>
    <s v="cus_J92UDxGPsuci1y"/>
    <m/>
    <s v="rgibbons83@gmail.com"/>
    <b v="1"/>
    <s v="src_1IWkPxKc9ZnUJQuyeq07HLEW"/>
    <m/>
    <s v="po_1IasRZKc9ZnUJQuyxZj8bImo"/>
  </r>
  <r>
    <x v="1"/>
    <m/>
    <s v="Payment complete."/>
    <d v="2021-03-19T13:47:00"/>
    <x v="0"/>
    <n v="5"/>
    <n v="0"/>
    <s v="usd"/>
    <n v="5"/>
    <n v="0"/>
    <n v="0.45"/>
    <n v="0"/>
    <s v="usd"/>
    <s v="Paid"/>
    <m/>
    <s v="cus_J90hrLgyJQZlll"/>
    <m/>
    <s v="mattlanglois1@gmail.com"/>
    <b v="1"/>
    <s v="src_1IWigAKc9ZnUJQuyyiFLeYAt"/>
    <m/>
    <s v="po_1IasRZKc9ZnUJQuyxZj8bImo"/>
  </r>
  <r>
    <x v="2"/>
    <m/>
    <s v="Payment complete."/>
    <d v="2021-03-19T13:34:00"/>
    <x v="0"/>
    <n v="5"/>
    <n v="0"/>
    <s v="usd"/>
    <n v="5"/>
    <n v="0"/>
    <n v="0.45"/>
    <n v="0"/>
    <s v="usd"/>
    <s v="Paid"/>
    <m/>
    <s v="cus_J90UIGUp4Mojov"/>
    <m/>
    <s v="smartbracket@rickbeal.fastmail.us"/>
    <b v="1"/>
    <s v="src_1IWiTLKc9ZnUJQuyjOskBfgO"/>
    <m/>
    <s v="po_1IasRZKc9ZnUJQuyxZj8bImo"/>
  </r>
  <r>
    <x v="3"/>
    <m/>
    <s v="Payment complete."/>
    <d v="2021-03-19T06:43:00"/>
    <x v="0"/>
    <n v="5"/>
    <n v="0"/>
    <s v="usd"/>
    <n v="5"/>
    <n v="0"/>
    <n v="0.45"/>
    <n v="0"/>
    <s v="usd"/>
    <s v="Paid"/>
    <m/>
    <s v="cus_J8tqz22hcTYZ4D"/>
    <m/>
    <s v="cdiaz255@gmail.com"/>
    <b v="1"/>
    <s v="src_1IWc3BKc9ZnUJQuyOnad4AER"/>
    <m/>
    <s v="po_1IasRZKc9ZnUJQuyxZj8bImo"/>
  </r>
  <r>
    <x v="4"/>
    <m/>
    <s v="Payment complete."/>
    <d v="2021-03-19T02:48:00"/>
    <x v="0"/>
    <n v="5"/>
    <n v="0"/>
    <s v="usd"/>
    <n v="5"/>
    <n v="0"/>
    <n v="0.45"/>
    <n v="0"/>
    <s v="usd"/>
    <s v="Paid"/>
    <m/>
    <s v="cus_J8q30wPPRmGgYh"/>
    <m/>
    <s v="mdelaet33@gmail.com"/>
    <b v="1"/>
    <s v="src_1IWYNbKc9ZnUJQuygjhDgfex"/>
    <m/>
    <s v="po_1IasRZKc9ZnUJQuyxZj8bImo"/>
  </r>
  <r>
    <x v="5"/>
    <m/>
    <s v="Payment complete."/>
    <d v="2021-03-18T19:28:00"/>
    <x v="0"/>
    <n v="5"/>
    <n v="0"/>
    <s v="usd"/>
    <n v="5"/>
    <n v="0"/>
    <n v="0.45"/>
    <n v="0"/>
    <s v="usd"/>
    <s v="Paid"/>
    <m/>
    <s v="cus_J8iyBK9gBBg2do"/>
    <m/>
    <s v="abl5037@gmail.com"/>
    <b v="1"/>
    <s v="src_1IWRWXKc9ZnUJQuyJxDNgAKz"/>
    <m/>
    <s v="po_1IasRZKc9ZnUJQuyxZj8bImo"/>
  </r>
  <r>
    <x v="6"/>
    <m/>
    <s v="Payment complete."/>
    <d v="2021-03-18T18:49:00"/>
    <x v="0"/>
    <n v="5"/>
    <n v="0"/>
    <s v="usd"/>
    <n v="5"/>
    <n v="0"/>
    <n v="0.45"/>
    <n v="0"/>
    <s v="usd"/>
    <s v="Paid"/>
    <m/>
    <s v="cus_J8iLV1hklEkPRW"/>
    <m/>
    <s v="andrew.bellenger1@gmail.com"/>
    <b v="1"/>
    <s v="src_1IWQuZKc9ZnUJQuyzLxF8V8Q"/>
    <m/>
    <s v="po_1IasRZKc9ZnUJQuyxZj8bImo"/>
  </r>
  <r>
    <x v="7"/>
    <m/>
    <s v="Payment complete."/>
    <d v="2021-03-18T16:10:00"/>
    <x v="0"/>
    <n v="5"/>
    <n v="0"/>
    <s v="usd"/>
    <n v="5"/>
    <n v="0"/>
    <n v="0.45"/>
    <n v="0"/>
    <s v="usd"/>
    <s v="Paid"/>
    <m/>
    <s v="cus_J8fliJBNSP6zWT"/>
    <m/>
    <s v="keenanbruni@gmail.com"/>
    <b v="1"/>
    <s v="src_1IWOQ8Kc9ZnUJQuy09yRfz3J"/>
    <m/>
    <s v="po_1IasRZKc9ZnUJQuyxZj8bImo"/>
  </r>
  <r>
    <x v="8"/>
    <m/>
    <s v="Payment complete."/>
    <d v="2021-03-18T15:25:00"/>
    <x v="0"/>
    <n v="5"/>
    <n v="0"/>
    <s v="usd"/>
    <n v="5"/>
    <n v="0"/>
    <n v="0.45"/>
    <n v="0"/>
    <s v="usd"/>
    <s v="Paid"/>
    <m/>
    <s v="cus_J8f2tS14G7yizW"/>
    <m/>
    <s v="jk0315@aol.com"/>
    <b v="1"/>
    <s v="src_1IWNicKc9ZnUJQuyAfbWVHyG"/>
    <m/>
    <s v="po_1IasRZKc9ZnUJQuyxZj8bImo"/>
  </r>
  <r>
    <x v="9"/>
    <m/>
    <s v="Payment complete."/>
    <d v="2021-03-18T14:02:00"/>
    <x v="0"/>
    <n v="5"/>
    <n v="0"/>
    <s v="usd"/>
    <n v="5"/>
    <n v="0"/>
    <n v="0.45"/>
    <n v="0"/>
    <s v="usd"/>
    <s v="Paid"/>
    <m/>
    <s v="cus_J8dic1YAe3RuDl"/>
    <m/>
    <s v="rba11@albion.edu"/>
    <b v="1"/>
    <s v="src_1IWMQeKc9ZnUJQuyC8UIriEl"/>
    <m/>
    <s v="po_1IasRZKc9ZnUJQuyxZj8bImo"/>
  </r>
  <r>
    <x v="10"/>
    <m/>
    <s v="Payment complete."/>
    <d v="2021-03-18T13:46:00"/>
    <x v="1"/>
    <n v="4"/>
    <n v="0"/>
    <s v="usd"/>
    <n v="4"/>
    <n v="0"/>
    <n v="0.42"/>
    <n v="0"/>
    <s v="usd"/>
    <s v="Paid"/>
    <m/>
    <s v="cus_J8dSYa7CLAIMim"/>
    <m/>
    <s v="fox1ae@gmail.com"/>
    <b v="1"/>
    <s v="src_1IWMBVKc9ZnUJQuyHFcYcPKP"/>
    <m/>
    <s v="po_1IasRZKc9ZnUJQuyxZj8bImo"/>
  </r>
  <r>
    <x v="11"/>
    <m/>
    <s v="Payment complete."/>
    <d v="2021-03-18T13:17:00"/>
    <x v="0"/>
    <n v="5"/>
    <n v="0"/>
    <s v="usd"/>
    <n v="5"/>
    <n v="0"/>
    <n v="0.45"/>
    <n v="0"/>
    <s v="usd"/>
    <s v="Paid"/>
    <m/>
    <s v="cus_J8cyj0WC77duEi"/>
    <m/>
    <s v="robbie.estes@gmail.com"/>
    <b v="1"/>
    <s v="src_1IWLiuKc9ZnUJQuyZ3JQG4gO"/>
    <m/>
    <s v="po_1IasRZKc9ZnUJQuyxZj8bImo"/>
  </r>
  <r>
    <x v="12"/>
    <m/>
    <s v="Payment complete."/>
    <d v="2021-03-18T13:09:00"/>
    <x v="0"/>
    <n v="5"/>
    <n v="0"/>
    <s v="usd"/>
    <n v="5"/>
    <n v="0"/>
    <n v="0.45"/>
    <n v="0"/>
    <s v="usd"/>
    <s v="Paid"/>
    <m/>
    <s v="cus_J8crgDXUSenTF5"/>
    <m/>
    <s v="signor.evan@gmail.com"/>
    <b v="1"/>
    <s v="src_1IWLbVKc9ZnUJQuyAdwCt3PM"/>
    <m/>
    <s v="po_1IasRZKc9ZnUJQuyxZj8bImo"/>
  </r>
  <r>
    <x v="13"/>
    <m/>
    <s v="Payment complete."/>
    <d v="2021-03-18T11:31:00"/>
    <x v="0"/>
    <n v="5"/>
    <n v="0"/>
    <s v="usd"/>
    <n v="5"/>
    <n v="0"/>
    <n v="0.45"/>
    <n v="0"/>
    <s v="usd"/>
    <s v="Paid"/>
    <m/>
    <s v="cus_J8bHKA58gXG1m3"/>
    <m/>
    <s v="dustinhutton@gmail.com"/>
    <b v="1"/>
    <s v="src_1IWK4rKc9ZnUJQuy9vBG3hBY"/>
    <m/>
    <s v="po_1IasRZKc9ZnUJQuyxZj8bImo"/>
  </r>
  <r>
    <x v="14"/>
    <m/>
    <s v="Payment complete."/>
    <d v="2021-03-18T10:35:00"/>
    <x v="0"/>
    <n v="5"/>
    <n v="0"/>
    <s v="usd"/>
    <n v="5"/>
    <n v="0"/>
    <n v="0.45"/>
    <n v="0"/>
    <s v="usd"/>
    <s v="Paid"/>
    <m/>
    <s v="cus_J8aNcP0XexxQAp"/>
    <m/>
    <s v="websterism@gmail.com"/>
    <b v="1"/>
    <s v="src_1IWJCjKc9ZnUJQuyqlilTEmQ"/>
    <m/>
    <s v="po_1IasRZKc9ZnUJQuyxZj8bImo"/>
  </r>
  <r>
    <x v="15"/>
    <m/>
    <s v="Payment complete."/>
    <d v="2021-03-18T06:02:00"/>
    <x v="0"/>
    <n v="5"/>
    <n v="0"/>
    <s v="usd"/>
    <n v="5"/>
    <n v="0"/>
    <n v="0.45"/>
    <n v="0"/>
    <s v="usd"/>
    <s v="Paid"/>
    <m/>
    <s v="cus_J8Vx1GUUIzIiyH"/>
    <m/>
    <s v="saballew3@yahoo.com"/>
    <b v="1"/>
    <s v="src_1IWEvmKc9ZnUJQuyrH4qzfiz"/>
    <m/>
    <s v="po_1IasRZKc9ZnUJQuyxZj8bImo"/>
  </r>
  <r>
    <x v="16"/>
    <m/>
    <s v="Payment complete."/>
    <d v="2021-03-18T04:06:00"/>
    <x v="0"/>
    <n v="5"/>
    <n v="0"/>
    <s v="usd"/>
    <n v="5"/>
    <n v="0"/>
    <n v="0.45"/>
    <n v="0"/>
    <s v="usd"/>
    <s v="Paid"/>
    <m/>
    <s v="cus_J8U69NDWNtnxQ2"/>
    <m/>
    <s v="ledford846@gmail.com"/>
    <b v="1"/>
    <s v="src_1IWD8MKc9ZnUJQuysYLrop3I"/>
    <m/>
    <s v="po_1IasRZKc9ZnUJQuyxZj8bImo"/>
  </r>
  <r>
    <x v="17"/>
    <m/>
    <s v="Payment complete."/>
    <d v="2021-03-18T03:15:00"/>
    <x v="1"/>
    <n v="4"/>
    <n v="0"/>
    <s v="usd"/>
    <n v="4"/>
    <n v="0"/>
    <n v="0.42"/>
    <n v="0"/>
    <s v="usd"/>
    <s v="Paid"/>
    <m/>
    <s v="cus_J8THYLlWNKRK1u"/>
    <m/>
    <s v="r_kipp@hotmail.com"/>
    <b v="1"/>
    <s v="src_1IWCKTKc9ZnUJQuygXb6n28G"/>
    <m/>
    <s v="po_1IasRZKc9ZnUJQuyxZj8bImo"/>
  </r>
  <r>
    <x v="18"/>
    <m/>
    <s v="Payment complete."/>
    <d v="2021-03-18T02:41:00"/>
    <x v="0"/>
    <n v="5"/>
    <n v="0"/>
    <s v="usd"/>
    <n v="5"/>
    <n v="0"/>
    <n v="0.45"/>
    <n v="0"/>
    <s v="usd"/>
    <s v="Paid"/>
    <m/>
    <s v="cus_J8SinykW1cmkKk"/>
    <m/>
    <s v="hbkid2000@verizon.net"/>
    <b v="1"/>
    <s v="src_1IWBnVKc9ZnUJQuyouTQy6Ow"/>
    <m/>
    <s v="po_1IasRZKc9ZnUJQuyxZj8bImo"/>
  </r>
  <r>
    <x v="19"/>
    <m/>
    <s v="Payment complete."/>
    <d v="2021-03-18T02:19:00"/>
    <x v="0"/>
    <n v="5"/>
    <n v="0"/>
    <s v="usd"/>
    <n v="5"/>
    <n v="0"/>
    <n v="0.45"/>
    <n v="0"/>
    <s v="usd"/>
    <s v="Paid"/>
    <m/>
    <s v="cus_J8SNCB1mMiamIw"/>
    <m/>
    <s v="curry.shopping@gmail.com"/>
    <b v="1"/>
    <s v="src_1IWBSdKc9ZnUJQuy80VGuOqX"/>
    <m/>
    <s v="po_1IasRZKc9ZnUJQuyxZj8bImo"/>
  </r>
  <r>
    <x v="20"/>
    <m/>
    <s v="Payment complete."/>
    <d v="2021-03-18T02:13:00"/>
    <x v="0"/>
    <n v="5"/>
    <n v="0"/>
    <s v="usd"/>
    <n v="5"/>
    <n v="0"/>
    <n v="0.45"/>
    <n v="0"/>
    <s v="usd"/>
    <s v="Paid"/>
    <m/>
    <s v="cus_J8SGsXTruXMtui"/>
    <m/>
    <s v="mfrey528@gmail.com"/>
    <b v="1"/>
    <s v="src_1IWBMPKc9ZnUJQuyALxtUVuG"/>
    <m/>
    <s v="po_1IasRZKc9ZnUJQuyxZj8bImo"/>
  </r>
  <r>
    <x v="21"/>
    <m/>
    <s v="Payment complete."/>
    <d v="2021-03-18T02:00:00"/>
    <x v="0"/>
    <n v="5"/>
    <n v="0"/>
    <s v="usd"/>
    <n v="5"/>
    <n v="0"/>
    <n v="0.45"/>
    <n v="0"/>
    <s v="usd"/>
    <s v="Paid"/>
    <m/>
    <s v="cus_J8S4PZaJX3vCFp"/>
    <m/>
    <s v="redneala@gmail.com"/>
    <b v="1"/>
    <s v="src_1IWBA5Kc9ZnUJQuyPGrPuLwU"/>
    <m/>
    <s v="po_1IasRZKc9ZnUJQuyxZj8bImo"/>
  </r>
  <r>
    <x v="22"/>
    <m/>
    <s v="Payment complete."/>
    <d v="2021-03-17T23:06:00"/>
    <x v="1"/>
    <n v="4"/>
    <n v="0"/>
    <s v="usd"/>
    <n v="4"/>
    <n v="0"/>
    <n v="0.42"/>
    <n v="0"/>
    <s v="usd"/>
    <s v="Paid"/>
    <m/>
    <s v="cus_J8PF1OsGuhH2E5"/>
    <m/>
    <s v="irwin.kwan@gmail.com"/>
    <b v="1"/>
    <s v="src_1IW8RFKc9ZnUJQuyAezmp3Z8"/>
    <m/>
    <s v="po_1IasRZKc9ZnUJQuyxZj8bImo"/>
  </r>
  <r>
    <x v="23"/>
    <m/>
    <s v="Payment complete."/>
    <d v="2021-03-17T20:34:00"/>
    <x v="0"/>
    <n v="5"/>
    <n v="0"/>
    <s v="usd"/>
    <n v="5"/>
    <n v="0"/>
    <n v="0.45"/>
    <n v="0"/>
    <s v="usd"/>
    <s v="Paid"/>
    <m/>
    <s v="cus_J8Mo1aqZmsy0hp"/>
    <m/>
    <s v="timmybrod@verizon.net"/>
    <b v="1"/>
    <s v="src_1IW64tKc9ZnUJQuyTd6s6MzU"/>
    <m/>
    <s v="po_1IasRZKc9ZnUJQuyxZj8bImo"/>
  </r>
  <r>
    <x v="24"/>
    <m/>
    <s v="Payment complete."/>
    <d v="2021-03-17T19:52:00"/>
    <x v="0"/>
    <n v="5"/>
    <n v="0"/>
    <s v="usd"/>
    <n v="5"/>
    <n v="0"/>
    <n v="0.45"/>
    <n v="0"/>
    <s v="usd"/>
    <s v="Paid"/>
    <m/>
    <s v="cus_J8M8rbZKwWCS7H"/>
    <m/>
    <s v="megginson3@msn.com"/>
    <b v="1"/>
    <s v="src_1IW5QMKc9ZnUJQuy9QgI3eHk"/>
    <m/>
    <s v="po_1IasRZKc9ZnUJQuyxZj8bImo"/>
  </r>
  <r>
    <x v="25"/>
    <m/>
    <s v="Payment complete."/>
    <d v="2021-03-17T16:54:00"/>
    <x v="0"/>
    <n v="5"/>
    <n v="0"/>
    <s v="usd"/>
    <n v="5"/>
    <n v="0"/>
    <n v="0.45"/>
    <n v="0"/>
    <s v="usd"/>
    <s v="Paid"/>
    <m/>
    <s v="cus_J8JGI19tKaMxro"/>
    <m/>
    <s v="jhawker44@msn.com"/>
    <b v="1"/>
    <s v="src_1IW2diKc9ZnUJQuy8gvxICWW"/>
    <m/>
    <s v="po_1IasRZKc9ZnUJQuyxZj8bImo"/>
  </r>
  <r>
    <x v="26"/>
    <m/>
    <s v="Payment complete."/>
    <d v="2021-03-17T15:36:00"/>
    <x v="0"/>
    <n v="5"/>
    <n v="0"/>
    <s v="usd"/>
    <n v="5"/>
    <n v="0"/>
    <n v="0.45"/>
    <n v="0"/>
    <s v="usd"/>
    <s v="Paid"/>
    <m/>
    <s v="cus_J8HzA81yDap1iB"/>
    <m/>
    <s v="mario.a.ramos@hotmail.com"/>
    <b v="1"/>
    <s v="src_1IW1PgKc9ZnUJQuyZY9L7wQ1"/>
    <m/>
    <s v="po_1IasRZKc9ZnUJQuyxZj8bImo"/>
  </r>
  <r>
    <x v="27"/>
    <m/>
    <s v="Payment complete."/>
    <d v="2021-03-17T02:37:00"/>
    <x v="0"/>
    <n v="5"/>
    <n v="0"/>
    <s v="usd"/>
    <n v="5"/>
    <n v="0"/>
    <n v="0.45"/>
    <n v="0"/>
    <s v="usd"/>
    <s v="Paid"/>
    <m/>
    <s v="cus_J85QQ3HwcNqXm0"/>
    <m/>
    <s v="cmwheatley@gmail.com"/>
    <b v="1"/>
    <s v="src_1IVpFxKc9ZnUJQuy1BWJkQWZ"/>
    <m/>
    <s v="po_1IasRZKc9ZnUJQuyxZj8bImo"/>
  </r>
  <r>
    <x v="28"/>
    <m/>
    <s v="Payment complete."/>
    <d v="2021-03-17T01:14:00"/>
    <x v="1"/>
    <n v="4"/>
    <n v="0"/>
    <s v="usd"/>
    <n v="4"/>
    <n v="0"/>
    <n v="0.42"/>
    <n v="0"/>
    <s v="usd"/>
    <s v="Paid"/>
    <m/>
    <s v="cus_J846OYY0lwhTDc"/>
    <m/>
    <s v="ricoswab@gmail.com"/>
    <b v="1"/>
    <s v="src_1IVny1Kc9ZnUJQuyS4CzlPRt"/>
    <m/>
    <s v="po_1IasRZKc9ZnUJQuyxZj8bImo"/>
  </r>
  <r>
    <x v="29"/>
    <m/>
    <s v="Payment complete."/>
    <d v="2021-03-16T22:02:00"/>
    <x v="0"/>
    <n v="5"/>
    <n v="0"/>
    <s v="usd"/>
    <n v="5"/>
    <n v="0"/>
    <n v="0.45"/>
    <n v="0"/>
    <s v="usd"/>
    <s v="Paid"/>
    <m/>
    <s v="cus_J80ztmzh9hj1Rj"/>
    <m/>
    <s v="mdawoud2013@fau.edu"/>
    <b v="1"/>
    <s v="src_1IVkxqKc9ZnUJQuyF0J0bRvI"/>
    <m/>
    <s v="po_1IasRZKc9ZnUJQuyxZj8bImo"/>
  </r>
  <r>
    <x v="30"/>
    <m/>
    <s v="Payment complete."/>
    <d v="2021-03-16T20:47:00"/>
    <x v="0"/>
    <n v="5"/>
    <n v="0"/>
    <s v="usd"/>
    <n v="5"/>
    <n v="0"/>
    <n v="0.45"/>
    <n v="0"/>
    <s v="usd"/>
    <s v="Paid"/>
    <m/>
    <s v="cus_J7znBw8sKImlRE"/>
    <m/>
    <s v="eboyd6@gmail.com"/>
    <b v="1"/>
    <s v="src_1IVjnXKc9ZnUJQuy7w4gtKum"/>
    <m/>
    <s v="po_1IasRZKc9ZnUJQuyxZj8bImo"/>
  </r>
  <r>
    <x v="31"/>
    <m/>
    <s v="Payment complete."/>
    <d v="2021-03-16T19:20:00"/>
    <x v="0"/>
    <n v="5"/>
    <n v="0"/>
    <s v="usd"/>
    <n v="5"/>
    <n v="0"/>
    <n v="0.45"/>
    <n v="0"/>
    <s v="usd"/>
    <s v="Paid"/>
    <m/>
    <s v="cus_J7yNYZCivXjIXU"/>
    <m/>
    <s v="bpenn@rwbaird.com"/>
    <b v="1"/>
    <s v="src_1IViRBKc9ZnUJQuytEtA2Ngi"/>
    <m/>
    <s v="po_1IasRZKc9ZnUJQuyxZj8bImo"/>
  </r>
  <r>
    <x v="32"/>
    <m/>
    <s v="Payment complete."/>
    <d v="2021-03-16T17:51:00"/>
    <x v="0"/>
    <n v="5"/>
    <n v="0"/>
    <s v="usd"/>
    <n v="5"/>
    <n v="0"/>
    <n v="0.45"/>
    <n v="0"/>
    <s v="usd"/>
    <s v="Paid"/>
    <m/>
    <s v="cus_J7wxUB3nXKDHQw"/>
    <m/>
    <s v="matthew.irey@usa.net"/>
    <b v="1"/>
    <s v="src_1IVh3PKc9ZnUJQuycjIptn5X"/>
    <m/>
    <s v="po_1IasRZKc9ZnUJQuyxZj8bImo"/>
  </r>
  <r>
    <x v="33"/>
    <m/>
    <s v="Payment complete."/>
    <d v="2021-03-16T17:28:00"/>
    <x v="0"/>
    <n v="5"/>
    <n v="0"/>
    <s v="usd"/>
    <n v="5"/>
    <n v="0"/>
    <n v="0.45"/>
    <n v="0"/>
    <s v="usd"/>
    <s v="Paid"/>
    <m/>
    <s v="cus_J7waJmuYqit3dx"/>
    <m/>
    <s v="ahphot.o.vi.d.e.o@gmail.com"/>
    <b v="1"/>
    <s v="src_1IVghQKc9ZnUJQuyGNqimvJ0"/>
    <m/>
    <s v="po_1IasRZKc9ZnUJQuyxZj8bImo"/>
  </r>
  <r>
    <x v="34"/>
    <m/>
    <s v="Payment complete."/>
    <d v="2021-03-16T17:15:00"/>
    <x v="0"/>
    <n v="5"/>
    <n v="0"/>
    <s v="usd"/>
    <n v="5"/>
    <n v="0"/>
    <n v="0.45"/>
    <n v="0"/>
    <s v="usd"/>
    <s v="Paid"/>
    <m/>
    <s v="cus_J7wNR8duRbYVDA"/>
    <m/>
    <s v="jbishopp@gmail.com"/>
    <b v="1"/>
    <s v="src_1IVgUbKc9ZnUJQuynpKtEuRn"/>
    <m/>
    <s v="po_1IasRZKc9ZnUJQuyxZj8bImo"/>
  </r>
  <r>
    <x v="35"/>
    <m/>
    <s v="Payment complete."/>
    <d v="2021-03-16T14:53:00"/>
    <x v="0"/>
    <n v="5"/>
    <n v="0"/>
    <s v="usd"/>
    <n v="5"/>
    <n v="0"/>
    <n v="0.45"/>
    <n v="0"/>
    <s v="usd"/>
    <s v="Paid"/>
    <m/>
    <s v="cus_J7u573WhJ5dUyH"/>
    <m/>
    <s v="im.johnmitchell@gmail.com"/>
    <b v="1"/>
    <s v="src_1IVeH4Kc9ZnUJQuyhaEv305M"/>
    <m/>
    <s v="po_1IasRZKc9ZnUJQuyxZj8bImo"/>
  </r>
  <r>
    <x v="36"/>
    <m/>
    <s v="Payment complete."/>
    <d v="2021-03-16T14:46:00"/>
    <x v="1"/>
    <n v="4"/>
    <n v="0"/>
    <s v="usd"/>
    <n v="4"/>
    <n v="0"/>
    <n v="0.42"/>
    <n v="0"/>
    <s v="usd"/>
    <s v="Paid"/>
    <m/>
    <s v="cus_J7txNFb2W5pgdw"/>
    <m/>
    <s v="jkraftchick@gmail.com"/>
    <b v="1"/>
    <s v="src_1IVeA1Kc9ZnUJQuyqk57es69"/>
    <m/>
    <s v="po_1IasRZKc9ZnUJQuyxZj8bImo"/>
  </r>
  <r>
    <x v="37"/>
    <m/>
    <s v="Payment complete."/>
    <d v="2021-03-16T14:32:00"/>
    <x v="0"/>
    <n v="5"/>
    <n v="0"/>
    <s v="usd"/>
    <n v="5"/>
    <n v="0"/>
    <n v="0.45"/>
    <n v="0"/>
    <s v="usd"/>
    <s v="Paid"/>
    <m/>
    <s v="cus_J7tjqw9KSpMgAM"/>
    <m/>
    <s v="orrtc1@gmail.com"/>
    <b v="1"/>
    <s v="src_1IVdwFKc9ZnUJQuyvsPxLpmv"/>
    <m/>
    <s v="po_1IasRZKc9ZnUJQuyxZj8bImo"/>
  </r>
  <r>
    <x v="38"/>
    <m/>
    <s v="Payment complete."/>
    <d v="2021-03-16T05:38:00"/>
    <x v="0"/>
    <n v="5"/>
    <n v="0"/>
    <s v="usd"/>
    <n v="5"/>
    <n v="0"/>
    <n v="0.45"/>
    <n v="0"/>
    <s v="usd"/>
    <s v="Paid"/>
    <m/>
    <s v="cus_J7l8Mn7xwa54nG"/>
    <m/>
    <s v="ejbrever@gmail.com"/>
    <b v="1"/>
    <s v="src_1IVVcBKc9ZnUJQuyRusq14fd"/>
    <m/>
    <s v="po_1IasRZKc9ZnUJQuyxZj8bImo"/>
  </r>
  <r>
    <x v="39"/>
    <m/>
    <s v="Payment complete."/>
    <d v="2021-03-16T03:51:00"/>
    <x v="0"/>
    <n v="5"/>
    <n v="0"/>
    <s v="usd"/>
    <n v="5"/>
    <n v="0"/>
    <n v="0.45"/>
    <n v="0"/>
    <s v="usd"/>
    <s v="Paid"/>
    <m/>
    <s v="cus_J7jPIRYfTz2roJ"/>
    <m/>
    <s v="jamesbo@ameritech.net"/>
    <b v="1"/>
    <s v="src_1IVTwLKc9ZnUJQuyxcJeqNn8"/>
    <m/>
    <s v="po_1IasRZKc9ZnUJQuyxZj8bImo"/>
  </r>
  <r>
    <x v="40"/>
    <m/>
    <s v="Payment complete."/>
    <d v="2021-03-16T03:12:00"/>
    <x v="0"/>
    <n v="5"/>
    <n v="0"/>
    <s v="usd"/>
    <n v="5"/>
    <n v="0"/>
    <n v="0.45"/>
    <n v="0"/>
    <s v="usd"/>
    <s v="Paid"/>
    <m/>
    <s v="cus_J7ilhTqw0tuRdU"/>
    <m/>
    <s v="clemsonarthur@yahoo.com"/>
    <b v="1"/>
    <s v="src_1IVTKGKc9ZnUJQuyw0Ckk1tf"/>
    <m/>
    <s v="po_1IasRZKc9ZnUJQuyxZj8bImo"/>
  </r>
  <r>
    <x v="41"/>
    <m/>
    <s v="Payment complete."/>
    <d v="2021-03-16T01:57:00"/>
    <x v="0"/>
    <n v="5"/>
    <n v="0"/>
    <s v="usd"/>
    <n v="5"/>
    <n v="0"/>
    <n v="0.45"/>
    <n v="0"/>
    <s v="usd"/>
    <s v="Paid"/>
    <m/>
    <s v="cus_J7hZxecGMm2ung"/>
    <m/>
    <s v="murphy.dan22@yahoo.com"/>
    <b v="1"/>
    <s v="src_1IVS9uKc9ZnUJQuyjL44JEim"/>
    <m/>
    <s v="po_1IasRZKc9ZnUJQuyxZj8bImo"/>
  </r>
  <r>
    <x v="42"/>
    <m/>
    <s v="Payment complete."/>
    <d v="2021-03-16T01:17:00"/>
    <x v="0"/>
    <n v="5"/>
    <n v="0"/>
    <s v="usd"/>
    <n v="5"/>
    <n v="0"/>
    <n v="0.45"/>
    <n v="0"/>
    <s v="usd"/>
    <s v="Paid"/>
    <m/>
    <s v="cus_J7gvzLJlvrIpe7"/>
    <m/>
    <s v="tmiremont@bellsouth.net"/>
    <b v="1"/>
    <s v="src_1IVRXDKc9ZnUJQuykdOhiDdq"/>
    <m/>
    <s v="po_1IasRZKc9ZnUJQuyxZj8bImo"/>
  </r>
  <r>
    <x v="43"/>
    <m/>
    <s v="Payment complete."/>
    <d v="2021-03-16T00:47:00"/>
    <x v="0"/>
    <n v="5"/>
    <n v="0"/>
    <s v="usd"/>
    <n v="5"/>
    <n v="0"/>
    <n v="0.45"/>
    <n v="0"/>
    <s v="usd"/>
    <s v="Paid"/>
    <m/>
    <s v="cus_J7gRmJpAm0nTIt"/>
    <m/>
    <s v="cathi.friend@att.net"/>
    <b v="1"/>
    <s v="src_1IVR4fKc9ZnUJQuyL3XcnmdM"/>
    <m/>
    <s v="po_1IasRZKc9ZnUJQuyxZj8bImo"/>
  </r>
  <r>
    <x v="44"/>
    <m/>
    <s v="Payment complete."/>
    <d v="2021-03-16T00:26:00"/>
    <x v="1"/>
    <n v="4"/>
    <n v="0"/>
    <s v="usd"/>
    <n v="4"/>
    <n v="0"/>
    <n v="0.42"/>
    <n v="0"/>
    <s v="usd"/>
    <s v="Paid"/>
    <m/>
    <s v="cus_J7g6ibgmU91ovN"/>
    <m/>
    <s v="feaglm22@gmail.com"/>
    <b v="1"/>
    <s v="src_1IVQkAKc9ZnUJQuyIgWCeOI2"/>
    <m/>
    <s v="po_1IasRZKc9ZnUJQuyxZj8bImo"/>
  </r>
  <r>
    <x v="45"/>
    <m/>
    <s v="Payment complete."/>
    <d v="2021-03-15T23:45:00"/>
    <x v="2"/>
    <n v="0.5"/>
    <n v="0"/>
    <s v="usd"/>
    <n v="0.5"/>
    <n v="0"/>
    <n v="0.31"/>
    <n v="0"/>
    <s v="usd"/>
    <s v="Paid"/>
    <m/>
    <s v="cus_J7fRbIa2aawmfp"/>
    <m/>
    <s v="panderson@andersoneconomicgroup.com"/>
    <b v="1"/>
    <s v="src_1IVQ6fKc9ZnUJQuyEi5WcU6O"/>
    <m/>
    <s v="po_1IasRZKc9ZnUJQuyxZj8bImo"/>
  </r>
  <r>
    <x v="46"/>
    <m/>
    <s v="Payment complete."/>
    <d v="2021-03-15T23:24:00"/>
    <x v="0"/>
    <n v="5"/>
    <n v="0"/>
    <s v="usd"/>
    <n v="5"/>
    <n v="0"/>
    <n v="0.45"/>
    <n v="0"/>
    <s v="usd"/>
    <s v="Paid"/>
    <m/>
    <s v="cus_J7f6sHR2gZe042"/>
    <m/>
    <s v="ferro3000@gmail.com"/>
    <b v="1"/>
    <s v="src_1IVPm2Kc9ZnUJQuyDhH74VB4"/>
    <m/>
    <s v="po_1IasRZKc9ZnUJQuyxZj8bImo"/>
  </r>
  <r>
    <x v="47"/>
    <m/>
    <s v="Payment complete."/>
    <d v="2021-03-15T23:04:00"/>
    <x v="0"/>
    <n v="5"/>
    <n v="0"/>
    <s v="usd"/>
    <n v="5"/>
    <n v="0"/>
    <n v="0.45"/>
    <n v="0"/>
    <s v="usd"/>
    <s v="Paid"/>
    <m/>
    <s v="cus_J7elrYPwCD7ieD"/>
    <m/>
    <s v="grizzram@aol.com"/>
    <b v="1"/>
    <s v="src_1IVPS9Kc9ZnUJQuyjOxiLWfp"/>
    <m/>
    <s v="po_1IasRZKc9ZnUJQuyxZj8bImo"/>
  </r>
  <r>
    <x v="48"/>
    <m/>
    <s v="Payment complete."/>
    <d v="2021-03-15T21:32:00"/>
    <x v="1"/>
    <n v="4"/>
    <n v="0"/>
    <s v="usd"/>
    <n v="4"/>
    <n v="0"/>
    <n v="0.42"/>
    <n v="0"/>
    <s v="usd"/>
    <s v="Paid"/>
    <m/>
    <s v="cus_J7dHi0QarWWtpm"/>
    <m/>
    <s v="john.shupe@mdcpfund.com"/>
    <b v="1"/>
    <s v="src_1IVO15Kc9ZnUJQuyG44bVYOB"/>
    <m/>
    <s v="po_1IasRZKc9ZnUJQuyxZj8bImo"/>
  </r>
  <r>
    <x v="49"/>
    <m/>
    <s v="Payment complete."/>
    <d v="2021-03-15T20:31:00"/>
    <x v="0"/>
    <n v="5"/>
    <n v="0"/>
    <s v="usd"/>
    <n v="5"/>
    <n v="0"/>
    <n v="0.45"/>
    <n v="0"/>
    <s v="usd"/>
    <s v="Paid"/>
    <m/>
    <s v="cus_J7cIs1EUWvMqNV"/>
    <m/>
    <s v="donutjr2013@hotmail.com"/>
    <b v="1"/>
    <s v="src_1IVN49Kc9ZnUJQuyw7VzUTpz"/>
    <m/>
    <s v="po_1IasRZKc9ZnUJQuyxZj8bImo"/>
  </r>
  <r>
    <x v="50"/>
    <m/>
    <s v="Payment complete."/>
    <d v="2021-03-15T18:11:00"/>
    <x v="0"/>
    <n v="5"/>
    <n v="0"/>
    <s v="usd"/>
    <n v="5"/>
    <n v="0"/>
    <n v="0.45"/>
    <n v="0"/>
    <s v="usd"/>
    <s v="Paid"/>
    <m/>
    <s v="cus_J7a3VWFR6EQrdv"/>
    <m/>
    <s v="jcascio@bellsouth.net"/>
    <b v="1"/>
    <s v="src_1IVKtNKc9ZnUJQuyFj8Gz3zD"/>
    <m/>
    <s v="po_1IasRZKc9ZnUJQuyxZj8bImo"/>
  </r>
  <r>
    <x v="51"/>
    <m/>
    <s v="Payment complete."/>
    <d v="2021-03-15T18:06:00"/>
    <x v="0"/>
    <n v="5"/>
    <n v="0"/>
    <s v="usd"/>
    <n v="5"/>
    <n v="0"/>
    <n v="0.45"/>
    <n v="0"/>
    <s v="usd"/>
    <s v="Paid"/>
    <m/>
    <s v="cus_J7Zy0rvhKdagoB"/>
    <m/>
    <s v="pmetzger9695@gmail.com"/>
    <b v="1"/>
    <s v="src_1IVKo7Kc9ZnUJQuyDkGupTap"/>
    <m/>
    <s v="po_1IasRZKc9ZnUJQuyxZj8bImo"/>
  </r>
  <r>
    <x v="52"/>
    <m/>
    <s v="Payment complete."/>
    <d v="2021-03-15T12:10:00"/>
    <x v="0"/>
    <n v="5"/>
    <n v="0"/>
    <s v="usd"/>
    <n v="5"/>
    <n v="0"/>
    <n v="0.45"/>
    <n v="0"/>
    <s v="usd"/>
    <s v="Paid"/>
    <m/>
    <s v="cus_J7UE8omciM3HW1"/>
    <m/>
    <s v="cpav21@gmail.com"/>
    <b v="1"/>
    <s v="src_1IVFFcKc9ZnUJQuyrQKqCxqN"/>
    <m/>
    <s v="po_1IasRZKc9ZnUJQuyxZj8bImo"/>
  </r>
  <r>
    <x v="53"/>
    <m/>
    <s v="Payment complete."/>
    <d v="2021-03-14T23:59:00"/>
    <x v="0"/>
    <n v="5"/>
    <n v="0"/>
    <s v="usd"/>
    <n v="5"/>
    <n v="0"/>
    <n v="0.45"/>
    <n v="0"/>
    <s v="usd"/>
    <s v="Paid"/>
    <m/>
    <s v="cus_J7IQhEHzW55ws3"/>
    <m/>
    <s v="feaglm22@gmail.com"/>
    <b v="1"/>
    <s v="src_1IV3pmKc9ZnUJQuygicPj6OZ"/>
    <m/>
    <s v="po_1IasRZKc9ZnUJQuyxZj8bImo"/>
  </r>
  <r>
    <x v="54"/>
    <m/>
    <s v="Payment complete."/>
    <d v="2021-03-14T19:12:00"/>
    <x v="0"/>
    <n v="5"/>
    <n v="0"/>
    <s v="usd"/>
    <n v="5"/>
    <n v="0"/>
    <n v="0.45"/>
    <n v="0"/>
    <s v="usd"/>
    <s v="Paid"/>
    <m/>
    <s v="cus_J7DnoCVjmf7ss4"/>
    <m/>
    <s v="tfinnan3@gmail.com"/>
    <b v="1"/>
    <s v="src_1IUzMHKc9ZnUJQuyvxYI1wfG"/>
    <m/>
    <s v="po_1IasRZKc9ZnUJQuyxZj8bImo"/>
  </r>
  <r>
    <x v="55"/>
    <m/>
    <s v="Payment complete."/>
    <d v="2021-03-14T03:36:00"/>
    <x v="0"/>
    <n v="5"/>
    <n v="0"/>
    <s v="usd"/>
    <n v="5"/>
    <n v="0"/>
    <n v="0.45"/>
    <n v="0"/>
    <s v="usd"/>
    <s v="Paid"/>
    <m/>
    <s v="cus_J6yhYECxb3A6za"/>
    <m/>
    <s v="ltonsoni@comcast.net"/>
    <b v="1"/>
    <s v="src_1IUkkOKc9ZnUJQuyPy7r3Thj"/>
    <m/>
    <s v="po_1IasRZKc9ZnUJQuyxZj8bIm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ch_3MmJ8SKc9ZnUJQuy0iSlccjy"/>
    <m/>
    <s v="Payment complete."/>
    <d v="2023-03-16T15:56:00"/>
    <n v="5"/>
    <x v="0"/>
    <n v="0"/>
    <s v="usd"/>
    <n v="5"/>
    <n v="0"/>
    <n v="0.45"/>
    <n v="0"/>
    <s v="usd"/>
    <s v="Live"/>
    <s v="Paid"/>
    <s v="SMARTBRACKET"/>
    <s v="cus_NXNviqTXD5VHW3"/>
    <m/>
    <s v="suavdaddy@protonmail.com"/>
    <b v="1"/>
    <s v="pm_1MmJ9sKc9ZnUJQuywfKHNqcq"/>
    <n v="5163"/>
    <s v="Visa"/>
  </r>
  <r>
    <s v="ch_3MmJ6EKc9ZnUJQuy13kcI5es"/>
    <m/>
    <s v="Payment complete."/>
    <d v="2023-03-16T15:53:00"/>
    <n v="5"/>
    <x v="0"/>
    <n v="0"/>
    <s v="usd"/>
    <n v="5"/>
    <n v="0"/>
    <n v="0.45"/>
    <n v="0"/>
    <s v="usd"/>
    <s v="Live"/>
    <s v="Paid"/>
    <s v="SMARTBRACKET"/>
    <s v="cus_NXNt4MPTLRowZj"/>
    <m/>
    <s v="streetsdme@aol.com"/>
    <b v="1"/>
    <s v="pm_1MmJ7LKc9ZnUJQuyJgE6pGUY"/>
    <n v="3710"/>
    <s v="MasterCard"/>
  </r>
  <r>
    <s v="ch_3MmIS6Kc9ZnUJQuy0Arv1a9T"/>
    <m/>
    <s v="Payment complete."/>
    <d v="2023-03-16T15:11:00"/>
    <n v="5"/>
    <x v="0"/>
    <n v="0"/>
    <s v="usd"/>
    <n v="5"/>
    <n v="0"/>
    <n v="0.45"/>
    <n v="0"/>
    <s v="usd"/>
    <s v="Live"/>
    <s v="Paid"/>
    <s v="SMARTBRACKET"/>
    <s v="cus_NXNDQB4HXyBSMn"/>
    <m/>
    <s v="gregoryaturner@gmail.com"/>
    <b v="1"/>
    <s v="pm_1MmISbKc9ZnUJQuy4PFGLk7b"/>
    <n v="6719"/>
    <s v="Visa"/>
  </r>
  <r>
    <s v="ch_3MmIJJKc9ZnUJQuy0Ko3ykx5"/>
    <m/>
    <s v="Payment complete."/>
    <d v="2023-03-16T15:03:00"/>
    <n v="5"/>
    <x v="0"/>
    <n v="0"/>
    <s v="usd"/>
    <n v="5"/>
    <n v="0"/>
    <n v="0.45"/>
    <n v="0"/>
    <s v="usd"/>
    <s v="Live"/>
    <s v="Paid"/>
    <s v="SMARTBRACKET"/>
    <s v="cus_NXN4lvP46MkFY4"/>
    <m/>
    <s v="rmorgart@hotmail.com"/>
    <b v="1"/>
    <s v="pm_1MmIKZKc9ZnUJQuyx9lZafUX"/>
    <n v="7251"/>
    <s v="MasterCard"/>
  </r>
  <r>
    <s v="ch_3MmI6iKc9ZnUJQuy1mlCPdhm"/>
    <m/>
    <s v="Payment complete."/>
    <d v="2023-03-16T14:49:00"/>
    <n v="4"/>
    <x v="1"/>
    <n v="0"/>
    <s v="usd"/>
    <n v="4"/>
    <n v="0"/>
    <n v="0.42"/>
    <n v="0"/>
    <s v="usd"/>
    <s v="Live"/>
    <s v="Paid"/>
    <s v="SMARTBRACKET"/>
    <s v="cus_NXMqsMh6dahlN5"/>
    <m/>
    <s v="dromeo80@yahoo.com"/>
    <b v="1"/>
    <s v="pm_1MmI7DKc9ZnUJQuyIcKTM74F"/>
    <n v="5740"/>
    <s v="Visa"/>
  </r>
  <r>
    <s v="ch_3MmHlqKc9ZnUJQuy0wowLyJv"/>
    <m/>
    <s v="Payment complete."/>
    <d v="2023-03-16T14:27:00"/>
    <n v="4"/>
    <x v="1"/>
    <n v="0"/>
    <s v="usd"/>
    <n v="4"/>
    <n v="0"/>
    <n v="0.42"/>
    <n v="0"/>
    <s v="usd"/>
    <s v="Live"/>
    <s v="Paid"/>
    <s v="SMARTBRACKET"/>
    <s v="cus_NXMVtKHfa9EwFC"/>
    <m/>
    <s v="kenjackson@live.com"/>
    <b v="1"/>
    <s v="pm_1MmHmQKc9ZnUJQuyCg03tmP9"/>
    <n v="213"/>
    <s v="MasterCard"/>
  </r>
  <r>
    <s v="ch_3MmHZWKc9ZnUJQuy1k1uJ0dc"/>
    <m/>
    <s v="Payment complete."/>
    <d v="2023-03-16T14:15:00"/>
    <n v="4"/>
    <x v="2"/>
    <n v="0"/>
    <s v="usd"/>
    <n v="4"/>
    <n v="0"/>
    <n v="0.42"/>
    <n v="0"/>
    <s v="usd"/>
    <s v="Live"/>
    <s v="Paid"/>
    <s v="SMARTBRACKET"/>
    <s v="cus_NXMIY9XAccCKqI"/>
    <m/>
    <s v="mattlanglois1@gmail.com"/>
    <b v="1"/>
    <s v="pm_1MmHa8Kc9ZnUJQuy99iRGbxf"/>
    <n v="9821"/>
    <s v="MasterCard"/>
  </r>
  <r>
    <s v="ch_3MmHQHKc9ZnUJQuy0beJrqKO"/>
    <m/>
    <s v="Payment complete."/>
    <d v="2023-03-16T14:05:00"/>
    <n v="3.75"/>
    <x v="3"/>
    <n v="0"/>
    <s v="usd"/>
    <n v="3.75"/>
    <n v="0"/>
    <n v="0.41"/>
    <n v="0"/>
    <s v="usd"/>
    <s v="Live"/>
    <s v="Paid"/>
    <s v="SMARTBRACKET"/>
    <s v="cus_NXM94r5AFTYP7O"/>
    <m/>
    <s v="david@searles.com"/>
    <b v="1"/>
    <s v="pm_1MmHQpKc9ZnUJQuyQdOrHyrR"/>
    <n v="9287"/>
    <s v="Visa"/>
  </r>
  <r>
    <s v="ch_3MmGyYKc9ZnUJQuy0U6Y7Lnm"/>
    <m/>
    <s v="Payment complete."/>
    <d v="2023-03-16T13:36:00"/>
    <n v="5"/>
    <x v="0"/>
    <n v="0"/>
    <s v="usd"/>
    <n v="5"/>
    <n v="0"/>
    <n v="0.45"/>
    <n v="0"/>
    <s v="usd"/>
    <s v="Live"/>
    <s v="Paid"/>
    <s v="SMARTBRACKET"/>
    <s v="cus_NXLgcm8Jnk9pR9"/>
    <m/>
    <s v="mkd212@mocs.utc.edu"/>
    <b v="1"/>
    <s v="pm_1MmGyqKc9ZnUJQuyckU76sXy"/>
    <n v="6035"/>
    <s v="MasterCard"/>
  </r>
  <r>
    <s v="ch_3MmGtOKc9ZnUJQuy1mXq1euG"/>
    <m/>
    <s v="Payment complete."/>
    <d v="2023-03-16T13:32:00"/>
    <n v="4"/>
    <x v="1"/>
    <n v="0"/>
    <s v="usd"/>
    <n v="4"/>
    <n v="0"/>
    <n v="0.42"/>
    <n v="0"/>
    <s v="usd"/>
    <s v="Live"/>
    <s v="Paid"/>
    <s v="SMARTBRACKET"/>
    <s v="cus_NXLbo3A4Nze2WU"/>
    <m/>
    <s v="scottmayo@gmail.com"/>
    <b v="1"/>
    <s v="pm_1MmGufKc9ZnUJQuyRC1L2GHG"/>
    <n v="7114"/>
    <s v="Visa"/>
  </r>
  <r>
    <s v="ch_3MmGhLKc9ZnUJQuy0ZnDaP1i"/>
    <m/>
    <s v="Payment complete."/>
    <d v="2023-03-16T13:19:00"/>
    <n v="4"/>
    <x v="1"/>
    <n v="0"/>
    <s v="usd"/>
    <n v="4"/>
    <n v="0"/>
    <n v="0.42"/>
    <n v="0"/>
    <s v="usd"/>
    <s v="Live"/>
    <s v="Paid"/>
    <s v="SMARTBRACKET"/>
    <s v="cus_NXLOAyUcZvSPFg"/>
    <m/>
    <s v="justin.principi@gmail.com"/>
    <b v="1"/>
    <s v="pm_1MmGiBKc9ZnUJQuy6bqNwdLS"/>
    <n v="7682"/>
    <s v="Visa"/>
  </r>
  <r>
    <s v="ch_3Mm7HxKc9ZnUJQuy1r71eQzV"/>
    <m/>
    <s v="Payment complete."/>
    <d v="2023-03-16T03:17:00"/>
    <n v="5"/>
    <x v="0"/>
    <n v="0"/>
    <s v="usd"/>
    <n v="5"/>
    <n v="0"/>
    <n v="0.45"/>
    <n v="0"/>
    <s v="usd"/>
    <s v="Live"/>
    <s v="Paid"/>
    <s v="SMARTBRACKET"/>
    <s v="cus_NXBgrPWmkn0w7M"/>
    <m/>
    <s v="scpetersen@centurylink.net"/>
    <b v="1"/>
    <s v="pm_1Mm7JIKc9ZnUJQuy2MC0uCsM"/>
    <n v="5148"/>
    <s v="Visa"/>
  </r>
  <r>
    <s v="ch_3Mm6s7Kc9ZnUJQuy1vVHNKzM"/>
    <m/>
    <s v="Payment complete."/>
    <d v="2023-03-16T02:51:00"/>
    <n v="4"/>
    <x v="1"/>
    <n v="0"/>
    <s v="usd"/>
    <n v="4"/>
    <n v="0"/>
    <n v="0.42"/>
    <n v="0"/>
    <s v="usd"/>
    <s v="Live"/>
    <s v="Paid"/>
    <s v="SMARTBRACKET"/>
    <s v="cus_NXBGjLMIhHJaf9"/>
    <m/>
    <s v="diehlt@bellsouth.net"/>
    <b v="1"/>
    <s v="pm_1Mm6uKKc9ZnUJQuyFXP8PidB"/>
    <n v="93"/>
    <s v="Visa"/>
  </r>
  <r>
    <s v="ch_3Mm6gAKc9ZnUJQuy0r5ygnsT"/>
    <m/>
    <s v="Payment complete."/>
    <d v="2023-03-16T02:37:00"/>
    <n v="5"/>
    <x v="0"/>
    <n v="0"/>
    <s v="usd"/>
    <n v="5"/>
    <n v="0"/>
    <n v="0.45"/>
    <n v="0"/>
    <s v="usd"/>
    <s v="Live"/>
    <s v="Paid"/>
    <s v="SMARTBRACKET"/>
    <s v="cus_NXB3BvnFgW13Jc"/>
    <m/>
    <s v="tyler@banyanventures.com"/>
    <b v="1"/>
    <s v="pm_1Mm6hOKc9ZnUJQuysBciIlZ1"/>
    <n v="3005"/>
    <s v="American Express"/>
  </r>
  <r>
    <s v="ch_3Mm5g6Kc9ZnUJQuy1rjTpT38"/>
    <m/>
    <s v="Payment complete."/>
    <d v="2023-03-16T01:32:00"/>
    <n v="5"/>
    <x v="0"/>
    <n v="0"/>
    <s v="usd"/>
    <n v="5"/>
    <n v="0"/>
    <n v="0.45"/>
    <n v="0"/>
    <s v="usd"/>
    <s v="Live"/>
    <s v="Paid"/>
    <s v="SMARTBRACKET"/>
    <s v="cus_NXA0RYPWQeckbT"/>
    <m/>
    <s v="mattrlescovensky@gmail.com"/>
    <b v="1"/>
    <s v="pm_1Mm5gPKc9ZnUJQuyrg0lNbTN"/>
    <n v="7140"/>
    <s v="Visa"/>
  </r>
  <r>
    <s v="ch_3Mm5Y5Kc9ZnUJQuy14cKRkCs"/>
    <m/>
    <s v="Payment complete."/>
    <d v="2023-03-16T01:24:00"/>
    <n v="4"/>
    <x v="1"/>
    <n v="0"/>
    <s v="usd"/>
    <n v="4"/>
    <n v="0"/>
    <n v="0.42"/>
    <n v="0"/>
    <s v="usd"/>
    <s v="Live"/>
    <s v="Paid"/>
    <s v="SMARTBRACKET"/>
    <s v="cus_NX9s6cIsAT0pCC"/>
    <m/>
    <s v="perk.jacob@gmail.com"/>
    <b v="1"/>
    <s v="pm_1Mm5YnKc9ZnUJQuyV2VRJIMW"/>
    <n v="8089"/>
    <s v="Visa"/>
  </r>
  <r>
    <s v="ch_3Mm4tJKc9ZnUJQuy0NPYBmT2"/>
    <m/>
    <s v="Payment complete."/>
    <d v="2023-03-16T00:42:00"/>
    <n v="4"/>
    <x v="1"/>
    <n v="0"/>
    <s v="usd"/>
    <n v="4"/>
    <n v="0"/>
    <n v="0.42"/>
    <n v="0"/>
    <s v="usd"/>
    <s v="Live"/>
    <s v="Paid"/>
    <s v="SMARTBRACKET"/>
    <s v="cus_NX9CI3NR30R7O2"/>
    <m/>
    <s v="lvanderpoel@icloud.com"/>
    <b v="1"/>
    <s v="pm_1Mm4twKc9ZnUJQuyN9DvavE4"/>
    <n v="5121"/>
    <s v="Visa"/>
  </r>
  <r>
    <s v="ch_3Mm4CfKc9ZnUJQuy149UoD4K"/>
    <m/>
    <s v="Payment complete."/>
    <d v="2023-03-15T23:58:00"/>
    <n v="5"/>
    <x v="0"/>
    <n v="0"/>
    <s v="usd"/>
    <n v="5"/>
    <n v="0"/>
    <n v="0.45"/>
    <n v="0"/>
    <s v="usd"/>
    <s v="Live"/>
    <s v="Paid"/>
    <s v="SMARTBRACKET"/>
    <s v="cus_NX8T4M9RLL9DZ2"/>
    <m/>
    <s v="gradyraines97@gmail.com"/>
    <b v="1"/>
    <s v="pm_1Mm4CuKc9ZnUJQuySBin4raJ"/>
    <n v="357"/>
    <s v="Visa"/>
  </r>
  <r>
    <s v="ch_3Mm3gtKc9ZnUJQuy1KnyDity"/>
    <m/>
    <s v="Payment complete."/>
    <d v="2023-03-15T23:30:00"/>
    <n v="5"/>
    <x v="0"/>
    <n v="0"/>
    <s v="usd"/>
    <n v="5"/>
    <n v="0"/>
    <n v="0.45"/>
    <n v="0"/>
    <s v="usd"/>
    <s v="Live"/>
    <s v="Paid"/>
    <s v="SMARTBRACKET"/>
    <s v="cus_NX82hMTCYBo8Zz"/>
    <m/>
    <s v="bjmccomas@hotmail.com"/>
    <b v="1"/>
    <s v="pm_1Mm3lzKc9ZnUJQuya2UNNsYX"/>
    <n v="6001"/>
    <s v="American Express"/>
  </r>
  <r>
    <s v="ch_3Mm3jFKc9ZnUJQuy1HpoCZsx"/>
    <m/>
    <s v="Payment complete."/>
    <d v="2023-03-15T23:28:00"/>
    <n v="5"/>
    <x v="0"/>
    <n v="0"/>
    <s v="usd"/>
    <n v="5"/>
    <n v="0"/>
    <n v="0.45"/>
    <n v="0"/>
    <s v="usd"/>
    <s v="Live"/>
    <s v="Paid"/>
    <s v="SMARTBRACKET"/>
    <s v="cus_NX7zBT97Hdltai"/>
    <m/>
    <s v="brandon.bermoy@gmail.com"/>
    <b v="1"/>
    <s v="pm_1Mm3jmKc9ZnUJQuyMy0g0rx3"/>
    <n v="5032"/>
    <s v="Visa"/>
  </r>
  <r>
    <s v="ch_3Mm3J4Kc9ZnUJQuy1GcK1nd0"/>
    <m/>
    <s v="Payment complete."/>
    <d v="2023-03-15T23:03:00"/>
    <n v="5"/>
    <x v="0"/>
    <n v="0"/>
    <s v="usd"/>
    <n v="5"/>
    <n v="0"/>
    <n v="0.45"/>
    <n v="0"/>
    <s v="usd"/>
    <s v="Live"/>
    <s v="Paid"/>
    <s v="SMARTBRACKET"/>
    <s v="cus_NX7bJRsarqjD9y"/>
    <m/>
    <s v="timmybrod@verizon.net"/>
    <b v="1"/>
    <s v="pm_1Mm3LwKc9ZnUJQuypqTpNDB7"/>
    <n v="4921"/>
    <s v="Visa"/>
  </r>
  <r>
    <s v="ch_3Mm3EPKc9ZnUJQuy1tD3WVPv"/>
    <m/>
    <s v="Payment complete."/>
    <d v="2023-03-15T22:56:00"/>
    <n v="5"/>
    <x v="0"/>
    <n v="0"/>
    <s v="usd"/>
    <n v="5"/>
    <n v="0"/>
    <n v="0.45"/>
    <n v="0"/>
    <s v="usd"/>
    <s v="Live"/>
    <s v="Paid"/>
    <s v="SMARTBRACKET"/>
    <s v="cus_NX7Us2mZ7ArGsK"/>
    <m/>
    <s v="rwd1517@gmail.com"/>
    <b v="1"/>
    <s v="pm_1Mm3FbKc9ZnUJQuyS4HG0n1L"/>
    <n v="7603"/>
    <s v="Visa"/>
  </r>
  <r>
    <s v="ch_3Mm3C2Kc9ZnUJQuy1bx5kHLA"/>
    <m/>
    <s v="Payment complete."/>
    <d v="2023-03-15T22:55:00"/>
    <n v="3.75"/>
    <x v="3"/>
    <n v="0"/>
    <s v="usd"/>
    <n v="3.75"/>
    <n v="0"/>
    <n v="0.41"/>
    <n v="0"/>
    <s v="usd"/>
    <s v="Live"/>
    <s v="Paid"/>
    <s v="SMARTBRACKET"/>
    <s v="cus_NX7TjQN6XZzIGc"/>
    <m/>
    <s v="charles_schulz@comcast.net"/>
    <b v="1"/>
    <s v="pm_1Mm3EEKc9ZnUJQuyHASwS7M1"/>
    <n v="9325"/>
    <s v="Visa"/>
  </r>
  <r>
    <s v="ch_3Mm3CfKc9ZnUJQuy0ms53Ig1"/>
    <m/>
    <s v="Payment complete."/>
    <d v="2023-03-15T22:55:00"/>
    <n v="5"/>
    <x v="0"/>
    <n v="0"/>
    <s v="usd"/>
    <n v="5"/>
    <n v="0"/>
    <n v="0.45"/>
    <n v="0"/>
    <s v="usd"/>
    <s v="Live"/>
    <s v="Paid"/>
    <s v="SMARTBRACKET"/>
    <s v="cus_NX7SHsCuIk1aOS"/>
    <m/>
    <s v="jeff@hailer.us"/>
    <b v="1"/>
    <s v="pm_1Mm3DjKc9ZnUJQuypTA3vFeZ"/>
    <n v="2834"/>
    <s v="Visa"/>
  </r>
  <r>
    <s v="ch_3Mm2lJKc9ZnUJQuy0scrZ4Cz"/>
    <m/>
    <s v="Payment complete."/>
    <d v="2023-03-15T22:27:00"/>
    <n v="4"/>
    <x v="1"/>
    <n v="0"/>
    <s v="usd"/>
    <n v="4"/>
    <n v="0"/>
    <n v="0.42"/>
    <n v="0"/>
    <s v="usd"/>
    <s v="Live"/>
    <s v="Paid"/>
    <s v="SMARTBRACKET"/>
    <s v="cus_NX71sYAgt5aBNL"/>
    <m/>
    <s v="bnhurley@yahoo.com"/>
    <b v="1"/>
    <s v="pm_1Mm2nWKc9ZnUJQuyF0JvIoKD"/>
    <n v="3284"/>
    <s v="MasterCard"/>
  </r>
  <r>
    <s v="ch_3Mm0kZKc9ZnUJQuy1oVx8ETT"/>
    <m/>
    <s v="Payment complete."/>
    <d v="2023-03-15T20:17:00"/>
    <n v="5"/>
    <x v="0"/>
    <n v="0"/>
    <s v="usd"/>
    <n v="5"/>
    <n v="0"/>
    <n v="0.45"/>
    <n v="0"/>
    <s v="usd"/>
    <s v="Live"/>
    <s v="Paid"/>
    <s v="SMARTBRACKET"/>
    <s v="cus_NX4uROAo0D8RBF"/>
    <m/>
    <s v="shawngidley@gmail.com"/>
    <b v="1"/>
    <s v="pm_1Mm0ksKc9ZnUJQuynTrQ4KnZ"/>
    <n v="1449"/>
    <s v="Visa"/>
  </r>
  <r>
    <s v="ch_3Mm08aKc9ZnUJQuy1B4jG96j"/>
    <m/>
    <s v="Payment complete."/>
    <d v="2023-03-15T19:38:00"/>
    <n v="4"/>
    <x v="1"/>
    <n v="0"/>
    <s v="usd"/>
    <n v="4"/>
    <n v="0"/>
    <n v="0.42"/>
    <n v="0"/>
    <s v="usd"/>
    <s v="Live"/>
    <s v="Paid"/>
    <s v="SMARTBRACKET"/>
    <s v="cus_NX4IZ1nxY4peh9"/>
    <m/>
    <s v="coreyelza@hotmail.com"/>
    <b v="1"/>
    <s v="pm_1Mm09VKc9ZnUJQuyZcUyITdj"/>
    <n v="2091"/>
    <s v="MasterCard"/>
  </r>
  <r>
    <s v="ch_3MlzRIKc9ZnUJQuy1CuVdV3x"/>
    <m/>
    <s v="Payment complete."/>
    <d v="2023-03-15T19:22:00"/>
    <n v="4"/>
    <x v="1"/>
    <n v="0"/>
    <s v="usd"/>
    <n v="4"/>
    <n v="0"/>
    <n v="0.42"/>
    <n v="0"/>
    <s v="usd"/>
    <s v="Live"/>
    <s v="Paid"/>
    <s v="SMARTBRACKET"/>
    <s v="cus_NX3ZnFxDfb4i7A"/>
    <m/>
    <s v="stevegar75@gmail.com"/>
    <b v="1"/>
    <s v="pm_1Mlzu1Kc9ZnUJQuy8NA7o1fa"/>
    <n v="2957"/>
    <s v="MasterCard"/>
  </r>
  <r>
    <s v="ch_3MlzrFKc9ZnUJQuy1mCtND6z"/>
    <m/>
    <s v="Payment complete."/>
    <d v="2023-03-15T19:21:00"/>
    <n v="4"/>
    <x v="1"/>
    <n v="0"/>
    <s v="usd"/>
    <n v="4"/>
    <n v="0"/>
    <n v="0.42"/>
    <n v="0"/>
    <s v="usd"/>
    <s v="Live"/>
    <s v="Paid"/>
    <s v="SMARTBRACKET"/>
    <s v="cus_NX41xvupvvhAIp"/>
    <m/>
    <s v="jkrakora@yahoo.com"/>
    <b v="1"/>
    <s v="pm_1MlztPKc9ZnUJQuyv3vzpM5e"/>
    <n v="3472"/>
    <s v="MasterCard"/>
  </r>
  <r>
    <s v="ch_3MlyuRKc9ZnUJQuy1csGlNgc"/>
    <m/>
    <s v="Payment complete."/>
    <d v="2023-03-15T18:19:00"/>
    <n v="5"/>
    <x v="0"/>
    <n v="0"/>
    <s v="usd"/>
    <n v="5"/>
    <n v="0"/>
    <n v="0.45"/>
    <n v="0"/>
    <s v="usd"/>
    <s v="Live"/>
    <s v="Paid"/>
    <s v="SMARTBRACKET"/>
    <s v="cus_NX31JqHaSE4Mlt"/>
    <m/>
    <s v="wjcarman@umich.edu"/>
    <b v="1"/>
    <s v="pm_1MlyvSKc9ZnUJQuyYljpyMNW"/>
    <n v="4250"/>
    <s v="Visa"/>
  </r>
  <r>
    <s v="ch_3Mlyd2Kc9ZnUJQuy0Koq292k"/>
    <m/>
    <s v="Payment complete."/>
    <d v="2023-03-15T18:02:00"/>
    <n v="5"/>
    <x v="0"/>
    <n v="0"/>
    <s v="usd"/>
    <n v="5"/>
    <n v="0"/>
    <n v="0.45"/>
    <n v="0"/>
    <s v="usd"/>
    <s v="Live"/>
    <s v="Paid"/>
    <s v="SMARTBRACKET"/>
    <s v="cus_NX2kVagDaKKDX2"/>
    <m/>
    <s v="neal.p.anderson@gmail.com"/>
    <b v="1"/>
    <s v="pm_1MlyeuKc9ZnUJQuyOvrQbsPG"/>
    <n v="8581"/>
    <s v="Visa"/>
  </r>
  <r>
    <s v="ch_3MlyGRKc9ZnUJQuy1VB2CoEF"/>
    <m/>
    <s v="Payment complete."/>
    <d v="2023-03-15T17:52:00"/>
    <n v="4"/>
    <x v="1"/>
    <n v="0"/>
    <s v="usd"/>
    <n v="4"/>
    <n v="0"/>
    <n v="0.42"/>
    <n v="0"/>
    <s v="usd"/>
    <s v="Live"/>
    <s v="Paid"/>
    <s v="SMARTBRACKET"/>
    <s v="cus_NX2Ny616NnyZdT"/>
    <m/>
    <s v="mahrt@sbcglobal.net"/>
    <b v="1"/>
    <s v="pm_1MlyVGKc9ZnUJQuyJR4OMsqW"/>
    <n v="2184"/>
    <s v="Visa"/>
  </r>
  <r>
    <s v="ch_3MlyQjKc9ZnUJQuy0QclSmXr"/>
    <m/>
    <s v="Payment complete."/>
    <d v="2023-03-15T17:48:00"/>
    <n v="4"/>
    <x v="2"/>
    <n v="0"/>
    <s v="usd"/>
    <n v="4"/>
    <n v="0"/>
    <n v="0.42"/>
    <n v="0"/>
    <s v="usd"/>
    <s v="Live"/>
    <s v="Paid"/>
    <s v="SMARTBRACKET"/>
    <s v="cus_NX2WzKWn0hqDtg"/>
    <m/>
    <s v="michelle.dees@outlook.com"/>
    <b v="1"/>
    <s v="pm_1MlyREKc9ZnUJQuy0PdG4Mdk"/>
    <n v="2367"/>
    <s v="Visa"/>
  </r>
  <r>
    <s v="ch_3MlxitKc9ZnUJQuy1ZJbwkwq"/>
    <m/>
    <s v="Payment complete."/>
    <d v="2023-03-15T17:03:00"/>
    <n v="5"/>
    <x v="0"/>
    <n v="0"/>
    <s v="usd"/>
    <n v="5"/>
    <n v="0"/>
    <n v="0.45"/>
    <n v="0"/>
    <s v="usd"/>
    <s v="Live"/>
    <s v="Paid"/>
    <s v="SMARTBRACKET"/>
    <s v="cus_NX1nS23LPsrHK3"/>
    <m/>
    <s v="websterism@gmail.com"/>
    <b v="1"/>
    <s v="pm_1MlxjvKc9ZnUJQuy7Xq794Hx"/>
    <n v="498"/>
    <s v="MasterCard"/>
  </r>
  <r>
    <s v="ch_3MlxHsKc9ZnUJQuy0eWwCRWo"/>
    <m/>
    <s v="Payment complete."/>
    <d v="2023-03-15T16:35:00"/>
    <n v="5"/>
    <x v="0"/>
    <n v="0"/>
    <s v="usd"/>
    <n v="5"/>
    <n v="0"/>
    <n v="0.45"/>
    <n v="0"/>
    <s v="usd"/>
    <s v="Live"/>
    <s v="Paid"/>
    <s v="SMARTBRACKET"/>
    <s v="cus_NX1Lbkagtdrl5U"/>
    <m/>
    <s v="tmiremont@bellsouth.net"/>
    <b v="1"/>
    <s v="pm_1MlxIdKc9ZnUJQuyW1bKgtRY"/>
    <n v="8653"/>
    <s v="Visa"/>
  </r>
  <r>
    <s v="ch_3MlwiGKc9ZnUJQuy0NV1L2yq"/>
    <m/>
    <s v="Payment complete."/>
    <d v="2023-03-15T16:01:00"/>
    <n v="5"/>
    <x v="0"/>
    <n v="0"/>
    <s v="usd"/>
    <n v="5"/>
    <n v="0"/>
    <n v="0.45"/>
    <n v="0"/>
    <s v="usd"/>
    <s v="Live"/>
    <s v="Paid"/>
    <s v="SMARTBRACKET"/>
    <s v="cus_NX0kqcncu0Dx3I"/>
    <m/>
    <s v="diners07_pomades@icloud.com"/>
    <b v="1"/>
    <s v="pm_1MlwlWKc9ZnUJQuyAa81LLkv"/>
    <n v="9109"/>
    <s v="MasterCard"/>
  </r>
  <r>
    <s v="ch_3MlwgiKc9ZnUJQuy0NHJan6O"/>
    <m/>
    <s v="Payment complete."/>
    <d v="2023-03-15T15:56:00"/>
    <n v="5"/>
    <x v="0"/>
    <n v="0"/>
    <s v="usd"/>
    <n v="5"/>
    <n v="0"/>
    <n v="0.45"/>
    <n v="0"/>
    <s v="usd"/>
    <s v="Live"/>
    <s v="Paid"/>
    <s v="SMARTBRACKET"/>
    <s v="cus_NX0iS5Pzbz6LOq"/>
    <m/>
    <s v="ryanmoog@gmail.com"/>
    <b v="1"/>
    <s v="pm_1MlwgnKc9ZnUJQuyhRyyglv7"/>
    <n v="6832"/>
    <s v="Visa"/>
  </r>
  <r>
    <s v="ch_3MlwalKc9ZnUJQuy01Ir54yD"/>
    <m/>
    <s v="Payment complete."/>
    <d v="2023-03-15T15:51:00"/>
    <n v="5"/>
    <x v="0"/>
    <n v="0"/>
    <s v="usd"/>
    <n v="5"/>
    <n v="0"/>
    <n v="0.45"/>
    <n v="0"/>
    <s v="usd"/>
    <s v="Live"/>
    <s v="Paid"/>
    <s v="SMARTBRACKET"/>
    <s v="cus_NX0cnk833Kuma0"/>
    <m/>
    <s v="kmurph825@gmail.com"/>
    <b v="1"/>
    <s v="pm_1MlwbsKc9ZnUJQuy1GUOv6c5"/>
    <n v="7780"/>
    <s v="Visa"/>
  </r>
  <r>
    <s v="ch_3MlwWuKc9ZnUJQuy01infQJ4"/>
    <m/>
    <s v="Payment complete."/>
    <d v="2023-03-15T15:46:00"/>
    <n v="5"/>
    <x v="0"/>
    <n v="0"/>
    <s v="usd"/>
    <n v="5"/>
    <n v="0"/>
    <n v="0.45"/>
    <n v="0"/>
    <s v="usd"/>
    <s v="Live"/>
    <s v="Paid"/>
    <s v="SMARTBRACKET"/>
    <s v="cus_NX0YWSTxqgprEI"/>
    <m/>
    <s v="abl5037@gmail.com"/>
    <b v="1"/>
    <s v="pm_1MlwXIKc9ZnUJQuy8bpEvYYJ"/>
    <n v="9580"/>
    <s v="Visa"/>
  </r>
  <r>
    <s v="ch_3MlwUaKc9ZnUJQuy1E8L1Vsd"/>
    <m/>
    <s v="Payment complete."/>
    <d v="2023-03-15T15:44:00"/>
    <n v="5"/>
    <x v="0"/>
    <n v="0"/>
    <s v="usd"/>
    <n v="5"/>
    <n v="0"/>
    <n v="0.45"/>
    <n v="0"/>
    <s v="usd"/>
    <s v="Live"/>
    <s v="Paid"/>
    <s v="SMARTBRACKET"/>
    <s v="cus_NX0WOJBMXY9Z3U"/>
    <m/>
    <s v="beierbwecm@gmail.com"/>
    <b v="1"/>
    <s v="pm_1MlwVEKc9ZnUJQuyX4lnoXpX"/>
    <n v="6005"/>
    <s v="American Express"/>
  </r>
  <r>
    <s v="ch_3MlwERKc9ZnUJQuy1PNglNA4"/>
    <m/>
    <s v="Payment complete."/>
    <d v="2023-03-15T15:27:00"/>
    <n v="5"/>
    <x v="0"/>
    <n v="0"/>
    <s v="usd"/>
    <n v="5"/>
    <n v="0"/>
    <n v="0.45"/>
    <n v="0"/>
    <s v="usd"/>
    <s v="Live"/>
    <s v="Paid"/>
    <s v="SMARTBRACKET"/>
    <s v="cus_NX0FBEpULRyACQ"/>
    <m/>
    <s v="arthuryon.1@gmail.com"/>
    <b v="1"/>
    <s v="pm_1MlwEuKc9ZnUJQuyVbnfWO2z"/>
    <n v="2434"/>
    <s v="Visa"/>
  </r>
  <r>
    <s v="ch_3MlwEPKc9ZnUJQuy1vC7s5Px"/>
    <m/>
    <s v="Payment complete."/>
    <d v="2023-03-15T15:27:00"/>
    <n v="5"/>
    <x v="0"/>
    <n v="0"/>
    <s v="usd"/>
    <n v="5"/>
    <n v="0"/>
    <n v="0.45"/>
    <n v="0"/>
    <s v="usd"/>
    <s v="Live"/>
    <s v="Paid"/>
    <s v="SMARTBRACKET"/>
    <s v="cus_NX0FuQGKFwgQl0"/>
    <m/>
    <s v="mike.althouse@gmail.com"/>
    <b v="1"/>
    <s v="pm_1MlwEhKc9ZnUJQuyPiymA5nC"/>
    <n v="7815"/>
    <s v="Visa"/>
  </r>
  <r>
    <s v="ch_3MlvxlKc9ZnUJQuy1ltAUAHM"/>
    <m/>
    <s v="Payment complete."/>
    <d v="2023-03-15T15:10:00"/>
    <n v="5"/>
    <x v="0"/>
    <n v="0"/>
    <s v="usd"/>
    <n v="5"/>
    <n v="0"/>
    <n v="0.45"/>
    <n v="0"/>
    <s v="usd"/>
    <s v="Live"/>
    <s v="Paid"/>
    <s v="SMARTBRACKET"/>
    <s v="cus_NWzyjEVJhhuMHp"/>
    <m/>
    <s v="gerickson@ericksonpartners.com"/>
    <b v="1"/>
    <s v="pm_1Mlvy8Kc9ZnUJQuyQ0rcTeif"/>
    <n v="8615"/>
    <s v="Visa"/>
  </r>
  <r>
    <s v="ch_3MlvkwKc9ZnUJQuy0QiUI77w"/>
    <m/>
    <s v="Payment complete."/>
    <d v="2023-03-15T14:57:00"/>
    <n v="3.75"/>
    <x v="3"/>
    <n v="0"/>
    <s v="usd"/>
    <n v="3.75"/>
    <n v="0"/>
    <n v="0.41"/>
    <n v="0"/>
    <s v="usd"/>
    <s v="Live"/>
    <s v="Paid"/>
    <s v="SMARTBRACKET"/>
    <s v="cus_NWzliNydfi0CY1"/>
    <m/>
    <s v="smartbracket.sp.andy@theneedhams.org"/>
    <b v="1"/>
    <s v="pm_1MlvlZKc9ZnUJQuylxtFy9K6"/>
    <n v="2257"/>
    <s v="MasterCard"/>
  </r>
  <r>
    <s v="ch_3Mlv4gKc9ZnUJQuy0uHW5tpQ"/>
    <m/>
    <s v="Payment complete."/>
    <d v="2023-03-15T14:13:00"/>
    <n v="5"/>
    <x v="0"/>
    <n v="0"/>
    <s v="usd"/>
    <n v="5"/>
    <n v="0"/>
    <n v="0.45"/>
    <n v="0"/>
    <s v="usd"/>
    <s v="Live"/>
    <s v="Paid"/>
    <s v="SMARTBRACKET"/>
    <s v="cus_NWz3SkQrDhTPGj"/>
    <m/>
    <s v="jpfmdo@yahoo.com"/>
    <b v="1"/>
    <s v="pm_1Mlv4yKc9ZnUJQuydaxZ5th6"/>
    <n v="5381"/>
    <s v="Visa"/>
  </r>
  <r>
    <s v="ch_3Mluk8Kc9ZnUJQuy1IESTxfU"/>
    <m/>
    <s v="Payment complete."/>
    <d v="2023-03-15T13:52:00"/>
    <n v="5"/>
    <x v="0"/>
    <n v="0"/>
    <s v="usd"/>
    <n v="5"/>
    <n v="0"/>
    <n v="0.45"/>
    <n v="0"/>
    <s v="usd"/>
    <s v="Live"/>
    <s v="Paid"/>
    <s v="SMARTBRACKET"/>
    <s v="cus_NWyiLIUDfTHehP"/>
    <m/>
    <s v="carolinakerr20@gmail.com"/>
    <b v="1"/>
    <s v="pm_1Mlul0Kc9ZnUJQuydAQCYXOH"/>
    <n v="4560"/>
    <s v="Visa"/>
  </r>
  <r>
    <s v="ch_3MlsqBKc9ZnUJQuy0OJqhs3k"/>
    <m/>
    <s v="Payment complete."/>
    <d v="2023-03-15T11:52:00"/>
    <n v="3.75"/>
    <x v="3"/>
    <n v="0"/>
    <s v="usd"/>
    <n v="3.75"/>
    <n v="0"/>
    <n v="0.41"/>
    <n v="0"/>
    <s v="usd"/>
    <s v="Live"/>
    <s v="Paid"/>
    <s v="SMARTBRACKET"/>
    <s v="cus_NWwlEOGCKMtRaX"/>
    <m/>
    <s v="brnhut@yahoo.com"/>
    <b v="1"/>
    <s v="pm_1MlssIKc9ZnUJQuyBPVimKzv"/>
    <n v="5684"/>
    <s v="Visa"/>
  </r>
  <r>
    <s v="ch_3MlrTbKc9ZnUJQuy05GnpDgv"/>
    <m/>
    <s v="Payment complete."/>
    <d v="2023-03-15T10:23:00"/>
    <n v="5"/>
    <x v="0"/>
    <n v="0"/>
    <s v="usd"/>
    <n v="5"/>
    <n v="0"/>
    <n v="0.45"/>
    <n v="0"/>
    <s v="usd"/>
    <s v="Live"/>
    <s v="Paid"/>
    <s v="SMARTBRACKET"/>
    <s v="cus_NWvLi1nk5K3Nth"/>
    <m/>
    <s v="jmtedder1@yahoo.com"/>
    <b v="1"/>
    <s v="pm_1MlrUNKc9ZnUJQuyNPt1h17m"/>
    <n v="6070"/>
    <s v="MasterCard"/>
  </r>
  <r>
    <s v="ch_3Mlpb0Kc9ZnUJQuy1GXsoeqR"/>
    <m/>
    <s v="Payment complete."/>
    <d v="2023-03-15T08:23:00"/>
    <n v="5"/>
    <x v="0"/>
    <n v="0"/>
    <s v="usd"/>
    <n v="5"/>
    <n v="0"/>
    <n v="0.45"/>
    <n v="0"/>
    <s v="usd"/>
    <s v="Live"/>
    <s v="Paid"/>
    <s v="SMARTBRACKET"/>
    <s v="cus_NWtOflLJCV6LZA"/>
    <m/>
    <s v="drummerof64@hotmail.com"/>
    <b v="1"/>
    <s v="pm_1Mlpc1Kc9ZnUJQuyRyTPEq6o"/>
    <n v="4914"/>
    <s v="Discover"/>
  </r>
  <r>
    <s v="ch_3MlloMKc9ZnUJQuy0ovaRqLa"/>
    <m/>
    <s v="Payment complete."/>
    <d v="2023-03-15T04:20:00"/>
    <n v="5"/>
    <x v="0"/>
    <n v="0"/>
    <s v="usd"/>
    <n v="5"/>
    <n v="0"/>
    <n v="0.45"/>
    <n v="0"/>
    <s v="usd"/>
    <s v="Live"/>
    <s v="Paid"/>
    <s v="SMARTBRACKET"/>
    <s v="cus_NWpUak8pI9lk26"/>
    <m/>
    <s v="tomtruttschel@gmail.com"/>
    <b v="1"/>
    <s v="pm_1Mllp8Kc9ZnUJQuyi271c3X2"/>
    <n v="8559"/>
    <s v="MasterCard"/>
  </r>
  <r>
    <s v="ch_3MllirKc9ZnUJQuy04rasXIZ"/>
    <m/>
    <s v="Payment complete."/>
    <d v="2023-03-15T04:15:00"/>
    <n v="5"/>
    <x v="0"/>
    <n v="0"/>
    <s v="usd"/>
    <n v="5"/>
    <n v="0"/>
    <n v="0.45"/>
    <n v="0"/>
    <s v="usd"/>
    <s v="Live"/>
    <s v="Paid"/>
    <s v="SMARTBRACKET"/>
    <s v="cus_NWpOAE1iKO8okZ"/>
    <m/>
    <s v="e.funston1961@gmail.com"/>
    <b v="1"/>
    <s v="pm_1Mllk4Kc9ZnUJQuyubCAGSn3"/>
    <n v="9893"/>
    <s v="MasterCard"/>
  </r>
  <r>
    <s v="ch_3Mllf4Kc9ZnUJQuy0fi60PUI"/>
    <m/>
    <s v="Payment complete."/>
    <d v="2023-03-15T04:11:00"/>
    <n v="3.75"/>
    <x v="3"/>
    <n v="0"/>
    <s v="usd"/>
    <n v="3.75"/>
    <n v="0"/>
    <n v="0.41"/>
    <n v="0"/>
    <s v="usd"/>
    <s v="Live"/>
    <s v="Paid"/>
    <s v="SMARTBRACKET"/>
    <s v="cus_NWpLssrYrAcbRe"/>
    <m/>
    <s v="jdewet1966@gmail.com"/>
    <b v="1"/>
    <s v="pm_1MllgOKc9ZnUJQuysYngH1nB"/>
    <n v="2983"/>
    <s v="Visa"/>
  </r>
  <r>
    <s v="ch_3MllGXKc9ZnUJQuy11xhjx1Q"/>
    <m/>
    <s v="Payment complete."/>
    <d v="2023-03-15T03:47:00"/>
    <n v="5"/>
    <x v="0"/>
    <n v="0"/>
    <s v="usd"/>
    <n v="5"/>
    <n v="0"/>
    <n v="0.45"/>
    <n v="0"/>
    <s v="usd"/>
    <s v="Live"/>
    <s v="Paid"/>
    <s v="SMARTBRACKET"/>
    <s v="cus_NWoxGqdRBjWBEK"/>
    <m/>
    <s v="greasemonkey48768@gmail.com"/>
    <b v="1"/>
    <s v="pm_1MllJCKc9ZnUJQuypWDGPvuG"/>
    <n v="4997"/>
    <s v="MasterCard"/>
  </r>
  <r>
    <s v="ch_3MlkrxKc9ZnUJQuy0Tg4Qc4c"/>
    <m/>
    <s v="Payment complete."/>
    <d v="2023-03-15T03:19:00"/>
    <n v="5"/>
    <x v="0"/>
    <n v="0"/>
    <s v="usd"/>
    <n v="5"/>
    <n v="0"/>
    <n v="0.45"/>
    <n v="0"/>
    <s v="usd"/>
    <s v="Live"/>
    <s v="Paid"/>
    <s v="SMARTBRACKET"/>
    <s v="cus_NWoVPCkXuajcei"/>
    <m/>
    <s v="mario.a.ramos@hotmail.com"/>
    <b v="1"/>
    <s v="pm_1MlksFKc9ZnUJQuyZwH48dUE"/>
    <n v="3682"/>
    <s v="Visa"/>
  </r>
  <r>
    <s v="ch_3MlkVDKc9ZnUJQuy0UNL0C2o"/>
    <m/>
    <s v="Payment complete."/>
    <d v="2023-03-15T02:56:00"/>
    <n v="5"/>
    <x v="0"/>
    <n v="0"/>
    <s v="usd"/>
    <n v="5"/>
    <n v="0"/>
    <n v="0.45"/>
    <n v="0"/>
    <s v="usd"/>
    <s v="Live"/>
    <s v="Paid"/>
    <s v="SMARTBRACKET"/>
    <s v="cus_NWo87oX21PV01m"/>
    <m/>
    <s v="stanhol1@verizon.net"/>
    <b v="1"/>
    <s v="pm_1MlkW8Kc9ZnUJQuyH6rwhNVy"/>
    <n v="8000"/>
    <s v="American Express"/>
  </r>
  <r>
    <s v="ch_3MljysKc9ZnUJQuy1NUVZE0I"/>
    <m/>
    <s v="Payment complete."/>
    <d v="2023-03-15T02:22:00"/>
    <n v="5"/>
    <x v="0"/>
    <n v="0"/>
    <s v="usd"/>
    <n v="5"/>
    <n v="0"/>
    <n v="0.45"/>
    <n v="0"/>
    <s v="usd"/>
    <s v="Live"/>
    <s v="Paid"/>
    <s v="SMARTBRACKET"/>
    <s v="cus_NWnaghpnaSpAN2"/>
    <m/>
    <s v="a21correll@yahoo.com"/>
    <b v="1"/>
    <s v="pm_1Mljz9Kc9ZnUJQuybYRhpvJe"/>
    <n v="6370"/>
    <s v="Visa"/>
  </r>
  <r>
    <s v="ch_3MljVMKc9ZnUJQuy0KGqYZux"/>
    <m/>
    <s v="Payment complete."/>
    <d v="2023-03-15T01:52:00"/>
    <n v="5"/>
    <x v="0"/>
    <n v="0"/>
    <s v="usd"/>
    <n v="5"/>
    <n v="0"/>
    <n v="0.45"/>
    <n v="0"/>
    <s v="usd"/>
    <s v="Live"/>
    <s v="Paid"/>
    <s v="SMARTBRACKET"/>
    <s v="cus_NWn6f3DLuUixdt"/>
    <m/>
    <s v="naes201@gmail.com"/>
    <b v="1"/>
    <s v="pm_1MljW5Kc9ZnUJQuyPwXiUCMu"/>
    <n v="2014"/>
    <s v="American Express"/>
  </r>
  <r>
    <s v="ch_3MljL3Kc9ZnUJQuy19PHXDRz"/>
    <m/>
    <s v="Payment complete."/>
    <d v="2023-03-15T01:41:00"/>
    <n v="5"/>
    <x v="0"/>
    <n v="0"/>
    <s v="usd"/>
    <n v="5"/>
    <n v="0"/>
    <n v="0.45"/>
    <n v="0"/>
    <s v="usd"/>
    <s v="Live"/>
    <s v="Paid"/>
    <s v="SMARTBRACKET"/>
    <s v="cus_NWmvKgNPvZuLIv"/>
    <m/>
    <s v="arobe35999@gmail.com"/>
    <b v="1"/>
    <s v="pm_1MljLHKc9ZnUJQuyN91eISx9"/>
    <n v="9222"/>
    <s v="MasterCard"/>
  </r>
  <r>
    <s v="ch_3MljCFKc9ZnUJQuy1T8L6aGJ"/>
    <m/>
    <s v="Payment complete."/>
    <d v="2023-03-15T01:32:00"/>
    <n v="5"/>
    <x v="0"/>
    <n v="0"/>
    <s v="usd"/>
    <n v="5"/>
    <n v="0"/>
    <n v="0.45"/>
    <n v="0"/>
    <s v="usd"/>
    <s v="Live"/>
    <s v="Paid"/>
    <s v="SMARTBRACKET"/>
    <s v="cus_NWmm26fY2dYiwl"/>
    <m/>
    <s v="lacevs@gmail.com"/>
    <b v="1"/>
    <s v="pm_1MljCbKc9ZnUJQuy55gCLYGB"/>
    <n v="384"/>
    <s v="MasterCard"/>
  </r>
  <r>
    <s v="ch_3MliWsKc9ZnUJQuy1xymeLZS"/>
    <m/>
    <s v="Payment complete."/>
    <d v="2023-03-15T00:50:00"/>
    <n v="5"/>
    <x v="0"/>
    <n v="0"/>
    <s v="usd"/>
    <n v="5"/>
    <n v="0"/>
    <n v="0.45"/>
    <n v="0"/>
    <s v="usd"/>
    <s v="Live"/>
    <s v="Paid"/>
    <s v="SMARTBRACKET"/>
    <s v="cus_NWm5gdOcImBoFr"/>
    <m/>
    <s v="shawnmcrossman@yahoo.com"/>
    <b v="1"/>
    <s v="pm_1MliXZKc9ZnUJQuymJjdlr42"/>
    <n v="8557"/>
    <s v="Visa"/>
  </r>
  <r>
    <s v="ch_3MliQbKc9ZnUJQuy0pQIrpf8"/>
    <m/>
    <s v="Payment complete."/>
    <d v="2023-03-15T00:43:00"/>
    <n v="5"/>
    <x v="0"/>
    <n v="0"/>
    <s v="usd"/>
    <n v="5"/>
    <n v="0"/>
    <n v="0.45"/>
    <n v="0"/>
    <s v="usd"/>
    <s v="Live"/>
    <s v="Paid"/>
    <s v="SMARTBRACKET"/>
    <s v="cus_NWlzZ5a3junBkI"/>
    <m/>
    <s v="dnhanson@comcast.net"/>
    <b v="1"/>
    <s v="pm_1MliR1Kc9ZnUJQuyxF57lIdy"/>
    <n v="384"/>
    <s v="MasterCard"/>
  </r>
  <r>
    <s v="ch_3MliM6Kc9ZnUJQuy1ri7N017"/>
    <m/>
    <s v="Payment complete."/>
    <d v="2023-03-15T00:41:00"/>
    <n v="5"/>
    <x v="0"/>
    <n v="0"/>
    <s v="usd"/>
    <n v="5"/>
    <n v="0"/>
    <n v="0.45"/>
    <n v="0"/>
    <s v="usd"/>
    <s v="Live"/>
    <s v="Paid"/>
    <s v="SMARTBRACKET"/>
    <s v="cus_NWlw8vfqsMVG5k"/>
    <m/>
    <s v="rogueparrot@gmail.com"/>
    <b v="1"/>
    <s v="pm_1MliOwKc9ZnUJQuydLgtrBxH"/>
    <n v="5104"/>
    <s v="Visa"/>
  </r>
  <r>
    <s v="ch_3MliN1Kc9ZnUJQuy06ZNDJHU"/>
    <m/>
    <s v="Payment complete."/>
    <d v="2023-03-15T00:39:00"/>
    <n v="5"/>
    <x v="0"/>
    <n v="0"/>
    <s v="usd"/>
    <n v="5"/>
    <n v="0"/>
    <n v="0.45"/>
    <n v="0"/>
    <s v="usd"/>
    <s v="Live"/>
    <s v="Paid"/>
    <s v="SMARTBRACKET"/>
    <s v="cus_NWlvtmxMdSuHMh"/>
    <m/>
    <s v="saljunior10@gmail.com"/>
    <b v="1"/>
    <s v="pm_1MliNCKc9ZnUJQuyTHYw8A3o"/>
    <n v="8364"/>
    <s v="Visa"/>
  </r>
  <r>
    <s v="ch_3MliG5Kc9ZnUJQuy0yK2reY8"/>
    <m/>
    <s v="Payment complete."/>
    <d v="2023-03-15T00:33:00"/>
    <n v="4"/>
    <x v="1"/>
    <n v="0"/>
    <s v="usd"/>
    <n v="4"/>
    <n v="0"/>
    <n v="0.42"/>
    <n v="0"/>
    <s v="usd"/>
    <s v="Live"/>
    <s v="Paid"/>
    <s v="SMARTBRACKET"/>
    <s v="cus_NWloW2Ato5jo6B"/>
    <m/>
    <s v="trc5004@gmail.com"/>
    <b v="1"/>
    <s v="pm_1MliHAKc9ZnUJQuyfWFT8eyn"/>
    <n v="487"/>
    <s v="Visa"/>
  </r>
  <r>
    <s v="ch_3Mlhp9Kc9ZnUJQuy1LSG8Ily"/>
    <m/>
    <s v="Payment complete."/>
    <d v="2023-03-15T00:04:00"/>
    <n v="5"/>
    <x v="0"/>
    <n v="0"/>
    <s v="usd"/>
    <n v="5"/>
    <n v="0"/>
    <n v="0.45"/>
    <n v="0"/>
    <s v="usd"/>
    <s v="Live"/>
    <s v="Paid"/>
    <s v="SMARTBRACKET"/>
    <s v="cus_NWlMW55znqRMbx"/>
    <m/>
    <s v="cathi.friend@att.net"/>
    <b v="1"/>
    <s v="pm_1MlhpnKc9ZnUJQuyAPjsGdYo"/>
    <n v="6856"/>
    <s v="Visa"/>
  </r>
  <r>
    <s v="ch_3MlhduKc9ZnUJQuy14pMztJk"/>
    <m/>
    <s v="Payment complete."/>
    <d v="2023-03-14T23:53:00"/>
    <n v="4"/>
    <x v="1"/>
    <n v="0"/>
    <s v="usd"/>
    <n v="4"/>
    <n v="0"/>
    <n v="0.42"/>
    <n v="0"/>
    <s v="usd"/>
    <s v="Live"/>
    <s v="Paid"/>
    <s v="SMARTBRACKET"/>
    <s v="cus_NWlAb4uD36LWVK"/>
    <m/>
    <s v="ysu2121@aol.com"/>
    <b v="1"/>
    <s v="pm_1MlheZKc9ZnUJQuym7BdTPdc"/>
    <n v="7719"/>
    <s v="MasterCard"/>
  </r>
  <r>
    <s v="ch_3MlhJLKc9ZnUJQuy0pbkNq6P"/>
    <m/>
    <s v="Payment complete."/>
    <d v="2023-03-14T23:32:00"/>
    <n v="5"/>
    <x v="0"/>
    <n v="0"/>
    <s v="usd"/>
    <n v="5"/>
    <n v="0"/>
    <n v="0.45"/>
    <n v="0"/>
    <s v="usd"/>
    <s v="Live"/>
    <s v="Paid"/>
    <s v="SMARTBRACKET"/>
    <s v="cus_NWkqH8TPnaTNvd"/>
    <m/>
    <s v="robertsemm@yahoo.com"/>
    <b v="1"/>
    <s v="pm_1MlhKWKc9ZnUJQuyn7i4pWI6"/>
    <n v="5106"/>
    <s v="Visa"/>
  </r>
  <r>
    <s v="ch_3MlgoEKc9ZnUJQuy01CpTNLX"/>
    <m/>
    <s v="Payment complete."/>
    <d v="2023-03-14T23:00:00"/>
    <n v="3.75"/>
    <x v="3"/>
    <n v="0"/>
    <s v="usd"/>
    <n v="3.75"/>
    <n v="0"/>
    <n v="0.41"/>
    <n v="0"/>
    <s v="usd"/>
    <s v="Live"/>
    <s v="Paid"/>
    <s v="SMARTBRACKET"/>
    <s v="cus_NWkKLNnlCI1gGK"/>
    <m/>
    <s v="mgreene05@yahoo.com"/>
    <b v="1"/>
    <s v="pm_1MlgpXKc9ZnUJQuyUbbba3qK"/>
    <n v="4026"/>
    <s v="Visa"/>
  </r>
  <r>
    <s v="ch_3MlfnAKc9ZnUJQuy0OCPJevk"/>
    <m/>
    <s v="Payment complete."/>
    <d v="2023-03-14T21:56:00"/>
    <n v="4"/>
    <x v="1"/>
    <n v="0"/>
    <s v="usd"/>
    <n v="4"/>
    <n v="0"/>
    <n v="0.42"/>
    <n v="0"/>
    <s v="usd"/>
    <s v="Live"/>
    <s v="Paid"/>
    <s v="SMARTBRACKET"/>
    <s v="cus_NWjIzwhAaRhyMI"/>
    <m/>
    <s v="jloe1977@icloud.com"/>
    <b v="1"/>
    <s v="pm_1MlfpUKc9ZnUJQuygqQSxddw"/>
    <n v="3519"/>
    <s v="Visa"/>
  </r>
  <r>
    <s v="ch_3MleyfKc9ZnUJQuy0F3zPJ4q"/>
    <m/>
    <s v="Payment complete."/>
    <d v="2023-03-14T21:03:00"/>
    <n v="5"/>
    <x v="0"/>
    <n v="0"/>
    <s v="usd"/>
    <n v="5"/>
    <n v="0"/>
    <n v="0.45"/>
    <n v="0"/>
    <s v="usd"/>
    <s v="Live"/>
    <s v="Paid"/>
    <s v="SMARTBRACKET"/>
    <s v="cus_NWiQMuRdSbWP4T"/>
    <m/>
    <s v="john@healthbenefitsconnect.com"/>
    <b v="1"/>
    <s v="pm_1MlezvKc9ZnUJQuyKaMMuYcW"/>
    <n v="8776"/>
    <s v="Visa"/>
  </r>
  <r>
    <s v="ch_3MlevoKc9ZnUJQuy0bu2unzd"/>
    <m/>
    <s v="Payment complete."/>
    <d v="2023-03-14T20:59:00"/>
    <n v="5"/>
    <x v="0"/>
    <n v="0"/>
    <s v="usd"/>
    <n v="5"/>
    <n v="0"/>
    <n v="0.45"/>
    <n v="0"/>
    <s v="usd"/>
    <s v="Live"/>
    <s v="Paid"/>
    <s v="SMARTBRACKET"/>
    <s v="cus_NWiMbS81xzooOY"/>
    <m/>
    <s v="jacko3538@gmail.com"/>
    <b v="1"/>
    <s v="pm_1MlewAKc9ZnUJQuyCdZPHyqS"/>
    <n v="8993"/>
    <s v="MasterCard"/>
  </r>
  <r>
    <s v="ch_3MlebnKc9ZnUJQuy0hzYstKn"/>
    <m/>
    <s v="Payment complete."/>
    <d v="2023-03-14T20:38:00"/>
    <n v="5"/>
    <x v="0"/>
    <n v="0"/>
    <s v="usd"/>
    <n v="5"/>
    <n v="0"/>
    <n v="0.45"/>
    <n v="0"/>
    <s v="usd"/>
    <s v="Live"/>
    <s v="Paid"/>
    <s v="SMARTBRACKET"/>
    <s v="cus_NWi2rHKeVTYNn6"/>
    <m/>
    <s v="jhbradley@gmail.com"/>
    <b v="1"/>
    <s v="pm_1MlecGKc9ZnUJQuyZPRXaVR6"/>
    <n v="9194"/>
    <s v="Visa"/>
  </r>
  <r>
    <s v="ch_3MleZxKc9ZnUJQuy06lXB3xq"/>
    <m/>
    <s v="Payment complete."/>
    <d v="2023-03-14T20:36:00"/>
    <n v="5"/>
    <x v="0"/>
    <n v="0"/>
    <s v="usd"/>
    <n v="5"/>
    <n v="0"/>
    <n v="0.45"/>
    <n v="0"/>
    <s v="usd"/>
    <s v="Live"/>
    <s v="Paid"/>
    <s v="SMARTBRACKET"/>
    <s v="cus_NWi0Nu1OVnaHNK"/>
    <m/>
    <s v="martyboo66@gmail.com"/>
    <b v="1"/>
    <s v="pm_1MleaaKc9ZnUJQuyiljE4Iav"/>
    <n v="5358"/>
    <s v="MasterCard"/>
  </r>
  <r>
    <s v="ch_3MleAmKc9ZnUJQuy1Da33s02"/>
    <m/>
    <s v="Payment complete."/>
    <d v="2023-03-14T20:14:00"/>
    <n v="5"/>
    <x v="0"/>
    <n v="0"/>
    <s v="usd"/>
    <n v="5"/>
    <n v="0"/>
    <n v="0.45"/>
    <n v="0"/>
    <s v="usd"/>
    <s v="Live"/>
    <s v="Paid"/>
    <s v="SMARTBRACKET"/>
    <s v="cus_NWhdnbxCFLaqW8"/>
    <m/>
    <s v="cjmorelle@gmail.com"/>
    <b v="1"/>
    <s v="pm_1MleEaKc9ZnUJQuyK9YldtLm"/>
    <n v="5391"/>
    <s v="MasterCard"/>
  </r>
  <r>
    <s v="ch_3MleAMKc9ZnUJQuy1pm69hWC"/>
    <m/>
    <s v="Payment complete."/>
    <d v="2023-03-14T20:11:00"/>
    <n v="5"/>
    <x v="0"/>
    <n v="0"/>
    <s v="usd"/>
    <n v="5"/>
    <n v="0"/>
    <n v="0.45"/>
    <n v="0"/>
    <s v="usd"/>
    <s v="Live"/>
    <s v="Paid"/>
    <s v="SMARTBRACKET"/>
    <s v="cus_NWhb9WawEkToQu"/>
    <m/>
    <s v="tplunkett@rocketmail.com"/>
    <b v="1"/>
    <s v="pm_1MleBoKc9ZnUJQuyEleaTBe6"/>
    <n v="8643"/>
    <s v="MasterCard"/>
  </r>
  <r>
    <s v="ch_3MlditKc9ZnUJQuy0Q9DcSux"/>
    <m/>
    <s v="Payment complete."/>
    <d v="2023-03-14T19:42:00"/>
    <n v="5"/>
    <x v="0"/>
    <n v="0"/>
    <s v="usd"/>
    <n v="5"/>
    <n v="0"/>
    <n v="0.45"/>
    <n v="0"/>
    <s v="usd"/>
    <s v="Live"/>
    <s v="Paid"/>
    <s v="SMARTBRACKET"/>
    <s v="cus_NWh7TLeQ0Tk6n5"/>
    <m/>
    <s v="dirksen@hotmail.com"/>
    <b v="1"/>
    <s v="pm_1MldjQKc9ZnUJQuyAOax3AM5"/>
    <n v="7390"/>
    <s v="Visa"/>
  </r>
  <r>
    <s v="ch_3MldeyKc9ZnUJQuy1JCMHLRd"/>
    <m/>
    <s v="Payment complete."/>
    <d v="2023-03-14T19:37:00"/>
    <n v="5"/>
    <x v="0"/>
    <n v="0"/>
    <s v="usd"/>
    <n v="5"/>
    <n v="0"/>
    <n v="0.45"/>
    <n v="0"/>
    <s v="usd"/>
    <s v="Live"/>
    <s v="Paid"/>
    <s v="SMARTBRACKET"/>
    <s v="cus_NWh3dXy4S0LF6N"/>
    <m/>
    <s v="billmartinct@yahoo.com"/>
    <b v="1"/>
    <s v="pm_1Mldf6Kc9ZnUJQuy1gfKVYxR"/>
    <n v="6836"/>
    <s v="MasterCard"/>
  </r>
  <r>
    <s v="ch_3MldSHKc9ZnUJQuy0kq149T8"/>
    <m/>
    <s v="Payment complete."/>
    <d v="2023-03-14T19:25:00"/>
    <n v="5"/>
    <x v="0"/>
    <n v="0"/>
    <s v="usd"/>
    <n v="5"/>
    <n v="0"/>
    <n v="0.45"/>
    <n v="0"/>
    <s v="usd"/>
    <s v="Live"/>
    <s v="Paid"/>
    <s v="SMARTBRACKET"/>
    <s v="cus_NWgrpUoRKAIp0S"/>
    <m/>
    <s v="jcouperm@gmail.com"/>
    <b v="1"/>
    <s v="pm_1MldTkKc9ZnUJQuyEGSY4TrA"/>
    <n v="5251"/>
    <s v="Visa"/>
  </r>
  <r>
    <s v="ch_3MldMaKc9ZnUJQuy1ijJ4gyM"/>
    <m/>
    <s v="Payment complete."/>
    <d v="2023-03-14T19:19:00"/>
    <n v="5"/>
    <x v="0"/>
    <n v="0"/>
    <s v="usd"/>
    <n v="5"/>
    <n v="0"/>
    <n v="0.45"/>
    <n v="0"/>
    <s v="usd"/>
    <s v="Live"/>
    <s v="Paid"/>
    <s v="SMARTBRACKET"/>
    <s v="cus_NWgluc58SbOe1x"/>
    <m/>
    <s v="lrlgolf@yahoo.com"/>
    <b v="1"/>
    <s v="pm_1MldNgKc9ZnUJQuycNKRair6"/>
    <n v="4184"/>
    <s v="Visa"/>
  </r>
  <r>
    <s v="ch_3MldFRKc9ZnUJQuy0auUToGL"/>
    <m/>
    <s v="Payment complete."/>
    <d v="2023-03-14T19:12:00"/>
    <n v="4"/>
    <x v="1"/>
    <n v="0"/>
    <s v="usd"/>
    <n v="4"/>
    <n v="0"/>
    <n v="0.42"/>
    <n v="0"/>
    <s v="usd"/>
    <s v="Live"/>
    <s v="Paid"/>
    <s v="SMARTBRACKET"/>
    <s v="cus_NWgeFapoq7wSXR"/>
    <m/>
    <s v="henry.s0563@gmail.com"/>
    <b v="1"/>
    <s v="pm_1MldGyKc9ZnUJQuy9HlZD4SR"/>
    <n v="8467"/>
    <s v="Discover"/>
  </r>
  <r>
    <s v="ch_3MldE3Kc9ZnUJQuy0C532iPG"/>
    <m/>
    <s v="Payment complete."/>
    <d v="2023-03-14T19:11:00"/>
    <n v="4"/>
    <x v="1"/>
    <n v="0"/>
    <s v="usd"/>
    <n v="4"/>
    <n v="0"/>
    <n v="0.42"/>
    <n v="0"/>
    <s v="usd"/>
    <s v="Live"/>
    <s v="Paid"/>
    <s v="SMARTBRACKET"/>
    <s v="cus_NWgdufGdadKDXu"/>
    <m/>
    <s v="nathanm1@bellsouth.net"/>
    <b v="1"/>
    <s v="pm_1MldGEKc9ZnUJQuyGi3yX9eK"/>
    <n v="7311"/>
    <s v="Discover"/>
  </r>
  <r>
    <s v="ch_3MlcoJKc9ZnUJQuy1SYtJuaM"/>
    <m/>
    <s v="Payment complete."/>
    <d v="2023-03-14T18:43:00"/>
    <n v="4"/>
    <x v="1"/>
    <n v="0"/>
    <s v="usd"/>
    <n v="4"/>
    <n v="0"/>
    <n v="0.42"/>
    <n v="0"/>
    <s v="usd"/>
    <s v="Live"/>
    <s v="Paid"/>
    <s v="SMARTBRACKET"/>
    <s v="cus_NWgBElSPUOQ4eC"/>
    <m/>
    <s v="k_seeley@hotmail.com"/>
    <b v="1"/>
    <s v="pm_1Mlcp2Kc9ZnUJQuySMkJz65P"/>
    <n v="9290"/>
    <s v="Visa"/>
  </r>
  <r>
    <s v="ch_3MlcmJKc9ZnUJQuy0m613lvK"/>
    <m/>
    <s v="Payment complete."/>
    <d v="2023-03-14T18:42:00"/>
    <n v="5"/>
    <x v="0"/>
    <n v="0"/>
    <s v="usd"/>
    <n v="5"/>
    <n v="0"/>
    <n v="0.45"/>
    <n v="0"/>
    <s v="usd"/>
    <s v="Live"/>
    <s v="Paid"/>
    <s v="SMARTBRACKET"/>
    <s v="cus_NWg9GTYRgOUFVy"/>
    <m/>
    <s v="rkz321@aol.com"/>
    <b v="1"/>
    <s v="pm_1MlcncKc9ZnUJQuyn23HdPIe"/>
    <n v="5035"/>
    <s v="Visa"/>
  </r>
  <r>
    <s v="ch_3MlccVKc9ZnUJQuy1cUclisq"/>
    <m/>
    <s v="Payment complete."/>
    <d v="2023-03-14T18:36:00"/>
    <n v="5"/>
    <x v="0"/>
    <n v="0"/>
    <s v="usd"/>
    <n v="5"/>
    <n v="0"/>
    <n v="0.45"/>
    <n v="0"/>
    <s v="usd"/>
    <s v="Live"/>
    <s v="Paid"/>
    <s v="SMARTBRACKET"/>
    <s v="cus_NWg4SnhdiYKLdz"/>
    <m/>
    <s v="commissioner@upickemfootball.com"/>
    <b v="1"/>
    <s v="pm_1Mlci1Kc9ZnUJQuyda0PFAiU"/>
    <n v="4156"/>
    <s v="Visa"/>
  </r>
  <r>
    <s v="ch_3MlcY5Kc9ZnUJQuy0Mqi9eMW"/>
    <m/>
    <s v="Payment complete."/>
    <d v="2023-03-14T18:28:00"/>
    <n v="5"/>
    <x v="0"/>
    <n v="0"/>
    <s v="usd"/>
    <n v="5"/>
    <n v="0"/>
    <n v="0.45"/>
    <n v="0"/>
    <s v="usd"/>
    <s v="Live"/>
    <s v="Paid"/>
    <s v="SMARTBRACKET"/>
    <s v="cus_NWfwz2nBcS1miS"/>
    <m/>
    <s v="wmumumma@comcast.net"/>
    <b v="1"/>
    <s v="pm_1MlcaLKc9ZnUJQuyw8uB6LXm"/>
    <n v="5995"/>
    <s v="Discover"/>
  </r>
  <r>
    <s v="ch_3MlcJlKc9ZnUJQuy1EZgHHrn"/>
    <m/>
    <s v="Payment complete."/>
    <d v="2023-03-14T18:12:00"/>
    <n v="4"/>
    <x v="1"/>
    <n v="0"/>
    <s v="usd"/>
    <n v="4"/>
    <n v="0"/>
    <n v="0.42"/>
    <n v="0"/>
    <s v="usd"/>
    <s v="Live"/>
    <s v="Paid"/>
    <s v="SMARTBRACKET"/>
    <s v="cus_NWfgosJ9vedMhq"/>
    <m/>
    <s v="jspako@yahoo.com"/>
    <b v="1"/>
    <s v="pm_1MlcKkKc9ZnUJQuyRAtpXa2r"/>
    <n v="5949"/>
    <s v="Visa"/>
  </r>
  <r>
    <s v="ch_3MlcJ1Kc9ZnUJQuy1WE1h3bQ"/>
    <m/>
    <s v="Payment complete."/>
    <d v="2023-03-14T18:11:00"/>
    <n v="4"/>
    <x v="1"/>
    <n v="0"/>
    <s v="usd"/>
    <n v="4"/>
    <n v="0"/>
    <n v="0.42"/>
    <n v="0"/>
    <s v="usd"/>
    <s v="Live"/>
    <s v="Paid"/>
    <s v="SMARTBRACKET"/>
    <s v="cus_NWff4aCcIfj2w7"/>
    <m/>
    <s v="sgates1981@outlook.com"/>
    <b v="1"/>
    <s v="pm_1MlcKIKc9ZnUJQuySjkVuWjk"/>
    <n v="8331"/>
    <s v="Visa"/>
  </r>
  <r>
    <s v="ch_3Mlc9IKc9ZnUJQuy0gDWQDVn"/>
    <m/>
    <s v="Payment complete."/>
    <d v="2023-03-14T18:00:00"/>
    <n v="5"/>
    <x v="0"/>
    <n v="0"/>
    <s v="usd"/>
    <n v="5"/>
    <n v="0"/>
    <n v="0.45"/>
    <n v="0"/>
    <s v="usd"/>
    <s v="Live"/>
    <s v="Paid"/>
    <s v="SMARTBRACKET"/>
    <s v="cus_NWfUrAq4UHp26Z"/>
    <m/>
    <s v="mdawoud2013@fau.edu"/>
    <b v="1"/>
    <s v="pm_1Mlc9WKc9ZnUJQuyg9Je4lSi"/>
    <n v="388"/>
    <s v="Visa"/>
  </r>
  <r>
    <s v="ch_3Mlbo7Kc9ZnUJQuy1soHVTJP"/>
    <m/>
    <s v="Payment complete."/>
    <d v="2023-03-14T17:39:00"/>
    <n v="5"/>
    <x v="0"/>
    <n v="0"/>
    <s v="usd"/>
    <n v="5"/>
    <n v="0"/>
    <n v="0.45"/>
    <n v="0"/>
    <s v="usd"/>
    <s v="Live"/>
    <s v="Paid"/>
    <s v="SMARTBRACKET"/>
    <s v="cus_NWf9dkfjgHtGsr"/>
    <m/>
    <s v="stevebgraham@gmail.com"/>
    <b v="1"/>
    <s v="pm_1MlbojKc9ZnUJQuyfz4q6bBr"/>
    <n v="1717"/>
    <s v="Visa"/>
  </r>
  <r>
    <s v="ch_3MlbmOKc9ZnUJQuy0ET3rvvl"/>
    <m/>
    <s v="Payment complete."/>
    <d v="2023-03-14T17:38:00"/>
    <n v="3.75"/>
    <x v="3"/>
    <n v="0"/>
    <s v="usd"/>
    <n v="3.75"/>
    <n v="0"/>
    <n v="0.41"/>
    <n v="0"/>
    <s v="usd"/>
    <s v="Live"/>
    <s v="Paid"/>
    <s v="SMARTBRACKET"/>
    <s v="cus_NWf7WhtSyG3VyN"/>
    <m/>
    <s v="gloson@gmail.com"/>
    <b v="1"/>
    <s v="pm_1MlbnTKc9ZnUJQuyql6Dp4Gl"/>
    <n v="2706"/>
    <s v="MasterCard"/>
  </r>
  <r>
    <s v="ch_3MlbQqKc9ZnUJQuy0t8jAerW"/>
    <m/>
    <s v="Payment complete."/>
    <d v="2023-03-14T17:15:00"/>
    <n v="5"/>
    <x v="0"/>
    <n v="0"/>
    <s v="usd"/>
    <n v="5"/>
    <n v="0"/>
    <n v="0.45"/>
    <n v="0"/>
    <s v="usd"/>
    <s v="Live"/>
    <s v="Paid"/>
    <s v="SMARTBRACKET"/>
    <s v="cus_NWekBZ0heqMUTg"/>
    <m/>
    <s v="grantweingarten@gmail.com"/>
    <b v="1"/>
    <s v="pm_1MlbRHKc9ZnUJQuyPLuCtNdA"/>
    <n v="2000"/>
    <s v="American Express"/>
  </r>
  <r>
    <s v="ch_3MlbONKc9ZnUJQuy1p58xEyQ"/>
    <m/>
    <s v="Payment complete."/>
    <d v="2023-03-14T17:13:00"/>
    <n v="3.75"/>
    <x v="3"/>
    <n v="0"/>
    <s v="usd"/>
    <n v="3.75"/>
    <n v="0"/>
    <n v="0.41"/>
    <n v="0"/>
    <s v="usd"/>
    <s v="Live"/>
    <s v="Paid"/>
    <s v="SMARTBRACKET"/>
    <s v="cus_NWejjLzeL50Rox"/>
    <m/>
    <s v="ccs60@allophone.com"/>
    <b v="1"/>
    <s v="pm_1MlbPxKc9ZnUJQuynHnkaYHs"/>
    <n v="9665"/>
    <s v="Visa"/>
  </r>
  <r>
    <s v="ch_3MlbIVKc9ZnUJQuy1yL25PXE"/>
    <m/>
    <s v="Payment complete."/>
    <d v="2023-03-14T17:06:00"/>
    <n v="3.75"/>
    <x v="3"/>
    <n v="0"/>
    <s v="usd"/>
    <n v="3.75"/>
    <n v="0"/>
    <n v="0.41"/>
    <n v="0"/>
    <s v="usd"/>
    <s v="Live"/>
    <s v="Paid"/>
    <s v="SMARTBRACKET"/>
    <s v="cus_NWecXTj00e7ohh"/>
    <m/>
    <s v="albertunited05@gmail.com"/>
    <b v="1"/>
    <s v="pm_1MlbJ7Kc9ZnUJQuyxMp3MZ7Q"/>
    <n v="8111"/>
    <s v="MasterCard"/>
  </r>
  <r>
    <s v="ch_3MlbDiKc9ZnUJQuy1mhgDE0n"/>
    <m/>
    <s v="Payment complete."/>
    <d v="2023-03-14T17:02:00"/>
    <n v="3.75"/>
    <x v="3"/>
    <n v="0"/>
    <s v="usd"/>
    <n v="3.75"/>
    <n v="0"/>
    <n v="0.41"/>
    <n v="0"/>
    <s v="usd"/>
    <s v="Live"/>
    <s v="Paid"/>
    <s v="SMARTBRACKET"/>
    <s v="cus_NWeYgFibPwKtFW"/>
    <m/>
    <s v="steve.boykin@verizon.net"/>
    <b v="1"/>
    <s v="pm_1MlbFLKc9ZnUJQuyJTBZSHEJ"/>
    <n v="4007"/>
    <s v="American Express"/>
  </r>
  <r>
    <s v="ch_3Mlb7sKc9ZnUJQuy1jAZZi3o"/>
    <m/>
    <s v="Payment complete."/>
    <d v="2023-03-14T16:56:00"/>
    <n v="5"/>
    <x v="0"/>
    <n v="0"/>
    <s v="usd"/>
    <n v="5"/>
    <n v="0"/>
    <n v="0.45"/>
    <n v="0"/>
    <s v="usd"/>
    <s v="Live"/>
    <s v="Paid"/>
    <s v="SMARTBRACKET"/>
    <s v="cus_NWeRGfrILOPhy1"/>
    <m/>
    <s v="gatesb6029@yahoo.com"/>
    <b v="1"/>
    <s v="pm_1Mlb8pKc9ZnUJQuyN8WowHTZ"/>
    <n v="1160"/>
    <s v="Visa"/>
  </r>
  <r>
    <s v="ch_3Mlb7HKc9ZnUJQuy1eY4WQCC"/>
    <m/>
    <s v="Payment complete."/>
    <d v="2023-03-14T16:54:00"/>
    <n v="5"/>
    <x v="0"/>
    <n v="0"/>
    <s v="usd"/>
    <n v="5"/>
    <n v="0"/>
    <n v="0.45"/>
    <n v="0"/>
    <s v="usd"/>
    <s v="Live"/>
    <s v="Paid"/>
    <s v="SMARTBRACKET"/>
    <s v="cus_NWeQLijSBP6brK"/>
    <m/>
    <s v="cureblake@gmail.com"/>
    <b v="1"/>
    <s v="pm_1Mlb7aKc9ZnUJQuyeeIp1Sjo"/>
    <n v="9642"/>
    <s v="Discover"/>
  </r>
  <r>
    <s v="ch_3Mlb4uKc9ZnUJQuy1Uv5QP3S"/>
    <m/>
    <s v="Payment complete."/>
    <d v="2023-03-14T16:52:00"/>
    <n v="5"/>
    <x v="0"/>
    <n v="0"/>
    <s v="usd"/>
    <n v="5"/>
    <n v="0"/>
    <n v="0.45"/>
    <n v="0"/>
    <s v="usd"/>
    <s v="Live"/>
    <s v="Paid"/>
    <s v="SMARTBRACKET"/>
    <s v="cus_NWeNijEbtSaZ0v"/>
    <m/>
    <s v="jcoxtransport@gmail.com"/>
    <b v="1"/>
    <s v="pm_1Mlb5CKc9ZnUJQuyJBOMtDvz"/>
    <n v="4738"/>
    <s v="Visa"/>
  </r>
  <r>
    <s v="ch_3Mlb3oKc9ZnUJQuy0Bf0EQnB"/>
    <m/>
    <s v="Payment complete."/>
    <d v="2023-03-14T16:51:00"/>
    <n v="5"/>
    <x v="0"/>
    <n v="0"/>
    <s v="usd"/>
    <n v="5"/>
    <n v="0"/>
    <n v="0.45"/>
    <n v="0"/>
    <s v="usd"/>
    <s v="Live"/>
    <s v="Paid"/>
    <s v="SMARTBRACKET"/>
    <s v="cus_NWeMwNPYVR7NXK"/>
    <m/>
    <s v="fewer-daises-0r@icloud.com"/>
    <b v="1"/>
    <s v="pm_1Mlb3xKc9ZnUJQuyNCExFVpZ"/>
    <n v="6072"/>
    <s v="Visa"/>
  </r>
  <r>
    <s v="ch_3MlaqrKc9ZnUJQuy1BchWGAz"/>
    <m/>
    <s v="Payment complete."/>
    <d v="2023-03-14T16:39:00"/>
    <n v="5"/>
    <x v="0"/>
    <n v="0"/>
    <s v="usd"/>
    <n v="5"/>
    <n v="0"/>
    <n v="0.45"/>
    <n v="0"/>
    <s v="usd"/>
    <s v="Live"/>
    <s v="Paid"/>
    <s v="SMARTBRACKET"/>
    <s v="cus_NWeA9LfrZmDLGS"/>
    <m/>
    <s v="actraeger@mchsi.com"/>
    <b v="1"/>
    <s v="pm_1MlasOKc9ZnUJQuyN4zflMdh"/>
    <n v="5848"/>
    <s v="Visa"/>
  </r>
  <r>
    <s v="ch_3MlakuKc9ZnUJQuy0rVnX0d3"/>
    <m/>
    <s v="Payment complete."/>
    <d v="2023-03-14T16:36:00"/>
    <n v="5"/>
    <x v="0"/>
    <n v="0"/>
    <s v="usd"/>
    <n v="5"/>
    <n v="0"/>
    <n v="0.45"/>
    <n v="0"/>
    <s v="usd"/>
    <s v="Live"/>
    <s v="Paid"/>
    <s v="SMARTBRACKET"/>
    <s v="cus_NWe83XAQVlvjRM"/>
    <m/>
    <s v="bighoff75@aim.com"/>
    <b v="1"/>
    <s v="pm_1Mlaq6Kc9ZnUJQuyr7joTRxE"/>
    <n v="8416"/>
    <s v="MasterCard"/>
  </r>
  <r>
    <s v="ch_3MlalMKc9ZnUJQuy1SCuKXZ0"/>
    <m/>
    <s v="Payment complete."/>
    <d v="2023-03-14T16:32:00"/>
    <n v="5"/>
    <x v="0"/>
    <n v="0"/>
    <s v="usd"/>
    <n v="5"/>
    <n v="0"/>
    <n v="0.45"/>
    <n v="0"/>
    <s v="usd"/>
    <s v="Live"/>
    <s v="Paid"/>
    <s v="SMARTBRACKET"/>
    <s v="cus_NWe3yAjAP1pSFs"/>
    <m/>
    <s v="dorrman25@gmail.com"/>
    <b v="1"/>
    <s v="pm_1MlamKKc9ZnUJQuyirQqZrpg"/>
    <n v="5735"/>
    <s v="Visa"/>
  </r>
  <r>
    <s v="ch_3MlajxKc9ZnUJQuy1PR7zCzZ"/>
    <m/>
    <s v="Payment complete."/>
    <d v="2023-03-14T16:30:00"/>
    <n v="5"/>
    <x v="0"/>
    <n v="0"/>
    <s v="usd"/>
    <n v="5"/>
    <n v="0"/>
    <n v="0.45"/>
    <n v="0"/>
    <s v="usd"/>
    <s v="Live"/>
    <s v="Paid"/>
    <s v="SMARTBRACKET"/>
    <s v="cus_NWe2AwRFRfUirc"/>
    <m/>
    <s v="rickschwab20@gmail.com"/>
    <b v="1"/>
    <s v="pm_1MlakAKc9ZnUJQuyltBG9kfm"/>
    <n v="1518"/>
    <s v="Visa"/>
  </r>
  <r>
    <s v="ch_3MlaHIKc9ZnUJQuy1F7WnAuX"/>
    <m/>
    <s v="Payment complete."/>
    <d v="2023-03-14T16:01:00"/>
    <n v="4"/>
    <x v="1"/>
    <n v="0"/>
    <s v="usd"/>
    <n v="4"/>
    <n v="0"/>
    <n v="0.42"/>
    <n v="0"/>
    <s v="usd"/>
    <s v="Live"/>
    <s v="Paid"/>
    <s v="SMARTBRACKET"/>
    <s v="cus_NWdYDAwwkKOHV9"/>
    <m/>
    <s v="michael2907@icloud.com"/>
    <b v="1"/>
    <s v="pm_1MlaHnKc9ZnUJQuycBeT7bZy"/>
    <n v="8161"/>
    <s v="MasterCard"/>
  </r>
  <r>
    <s v="ch_3MlaG6Kc9ZnUJQuy1c6xFWQs"/>
    <m/>
    <s v="Payment complete."/>
    <d v="2023-03-14T16:00:00"/>
    <n v="5"/>
    <x v="0"/>
    <n v="0"/>
    <s v="usd"/>
    <n v="5"/>
    <n v="0"/>
    <n v="0.45"/>
    <n v="0"/>
    <s v="usd"/>
    <s v="Live"/>
    <s v="Paid"/>
    <s v="SMARTBRACKET"/>
    <s v="cus_NWdYzvalEdOfka"/>
    <m/>
    <s v="adam.fugere@gmail.com"/>
    <b v="1"/>
    <s v="pm_1MlaGtKc9ZnUJQuykt7uNpPy"/>
    <n v="591"/>
    <s v="Discover"/>
  </r>
  <r>
    <s v="ch_3MlZScKc9ZnUJQuy0Kw5MDxn"/>
    <m/>
    <s v="Payment complete."/>
    <d v="2023-03-14T15:09:00"/>
    <n v="5"/>
    <x v="0"/>
    <n v="0"/>
    <s v="usd"/>
    <n v="5"/>
    <n v="0"/>
    <n v="0.45"/>
    <n v="0"/>
    <s v="usd"/>
    <s v="Live"/>
    <s v="Paid"/>
    <s v="SMARTBRACKET"/>
    <s v="cus_NWciqsFcesdYSV"/>
    <m/>
    <s v="uksmiley4@ymail.com"/>
    <b v="1"/>
    <s v="pm_1MlZTVKc9ZnUJQuyNQmTXbVB"/>
    <n v="263"/>
    <s v="Visa"/>
  </r>
  <r>
    <s v="ch_3MlZQ1Kc9ZnUJQuy0fBQHFy8"/>
    <m/>
    <s v="Payment complete."/>
    <d v="2023-03-14T15:06:00"/>
    <n v="5"/>
    <x v="0"/>
    <n v="0"/>
    <s v="usd"/>
    <n v="5"/>
    <n v="0"/>
    <n v="0.45"/>
    <n v="0"/>
    <s v="usd"/>
    <s v="Live"/>
    <s v="Paid"/>
    <s v="SMARTBRACKET"/>
    <s v="cus_NWcgUroQIwc3g5"/>
    <m/>
    <s v="dereklau10@gmail.com"/>
    <b v="1"/>
    <s v="pm_1MlZQiKc9ZnUJQuyaKWykT81"/>
    <n v="1000"/>
    <s v="American Express"/>
  </r>
  <r>
    <s v="ch_3MlZBCKc9ZnUJQuy0x5KeePH"/>
    <m/>
    <s v="Payment complete."/>
    <d v="2023-03-14T14:50:00"/>
    <n v="5"/>
    <x v="0"/>
    <n v="0"/>
    <s v="usd"/>
    <n v="5"/>
    <n v="0"/>
    <n v="0.45"/>
    <n v="0"/>
    <s v="usd"/>
    <s v="Live"/>
    <s v="Paid"/>
    <s v="SMARTBRACKET"/>
    <s v="cus_NWcQKvspgvaozK"/>
    <m/>
    <s v="shaneschaefer.az@me.com"/>
    <b v="1"/>
    <s v="pm_1MlZBmKc9ZnUJQuy29ubvnfJ"/>
    <n v="3567"/>
    <s v="Visa"/>
  </r>
  <r>
    <s v="ch_3MlYnpKc9ZnUJQuy1aojeksW"/>
    <m/>
    <s v="Payment complete."/>
    <d v="2023-03-14T14:27:00"/>
    <n v="5"/>
    <x v="0"/>
    <n v="0"/>
    <s v="usd"/>
    <n v="5"/>
    <n v="0"/>
    <n v="0.45"/>
    <n v="0"/>
    <s v="usd"/>
    <s v="Live"/>
    <s v="Paid"/>
    <s v="SMARTBRACKET"/>
    <s v="cus_NWc2atPFdxW5h2"/>
    <m/>
    <s v="dphipps77us@yahoo.com"/>
    <b v="1"/>
    <s v="pm_1MlYonKc9ZnUJQuybJOKqhJy"/>
    <n v="4686"/>
    <s v="MasterCard"/>
  </r>
  <r>
    <s v="ch_3MlXayKc9ZnUJQuy0hZbNqw5"/>
    <m/>
    <s v="Payment complete."/>
    <d v="2023-03-14T13:10:00"/>
    <n v="4"/>
    <x v="1"/>
    <n v="0"/>
    <s v="usd"/>
    <n v="4"/>
    <n v="0"/>
    <n v="0.42"/>
    <n v="0"/>
    <s v="usd"/>
    <s v="Live"/>
    <s v="Paid"/>
    <s v="SMARTBRACKET"/>
    <s v="cus_NWan69XQuGn4Ap"/>
    <m/>
    <s v="edwcncg211@gmail.com"/>
    <b v="1"/>
    <s v="pm_1MlXc6Kc9ZnUJQuyihppId6Y"/>
    <n v="3086"/>
    <s v="Visa"/>
  </r>
  <r>
    <s v="ch_3MlOZ0Kc9ZnUJQuy0b4S9cRo"/>
    <m/>
    <s v="Payment complete."/>
    <d v="2023-03-14T03:33:00"/>
    <n v="5"/>
    <x v="0"/>
    <n v="0"/>
    <s v="usd"/>
    <n v="5"/>
    <n v="0"/>
    <n v="0.45"/>
    <n v="0"/>
    <s v="usd"/>
    <s v="Live"/>
    <s v="Paid"/>
    <s v="SMARTBRACKET"/>
    <s v="cus_NWRVBxisQ5yKsj"/>
    <m/>
    <s v="dumpyguy@gmail.com"/>
    <b v="1"/>
    <s v="pm_1MlOcYKc9ZnUJQuyfEjh0V2m"/>
    <n v="9504"/>
    <s v="MasterCard"/>
  </r>
  <r>
    <s v="ch_3MlO6vKc9ZnUJQuy1zFbnikb"/>
    <m/>
    <s v="Payment complete."/>
    <d v="2023-03-14T03:02:00"/>
    <n v="5"/>
    <x v="0"/>
    <n v="0"/>
    <s v="usd"/>
    <n v="5"/>
    <n v="0"/>
    <n v="0.45"/>
    <n v="0"/>
    <s v="usd"/>
    <s v="Live"/>
    <s v="Paid"/>
    <s v="SMARTBRACKET"/>
    <s v="cus_NWR0zPtqNkhOGc"/>
    <m/>
    <s v="michael9648@sbcglobal.net"/>
    <b v="1"/>
    <s v="pm_1MlO8SKc9ZnUJQuyAuzm16G7"/>
    <n v="2985"/>
    <s v="MasterCard"/>
  </r>
  <r>
    <s v="ch_3MlMWRKc9ZnUJQuy0f9Y5QgJ"/>
    <m/>
    <s v="Payment complete."/>
    <d v="2023-03-14T01:20:00"/>
    <n v="5"/>
    <x v="0"/>
    <n v="0"/>
    <s v="usd"/>
    <n v="5"/>
    <n v="0"/>
    <n v="0.45"/>
    <n v="0"/>
    <s v="usd"/>
    <s v="Live"/>
    <s v="Paid"/>
    <s v="SMARTBRACKET"/>
    <s v="cus_NWPLyznItqMhyd"/>
    <m/>
    <s v="wxdude@gmail.com"/>
    <b v="1"/>
    <s v="pm_1MlMXAKc9ZnUJQuy9gSgXbdV"/>
    <n v="1081"/>
    <s v="Visa"/>
  </r>
  <r>
    <s v="ch_3MlLt5Kc9ZnUJQuy0WzWYIoH"/>
    <m/>
    <s v="Payment complete."/>
    <d v="2023-03-14T00:39:00"/>
    <n v="5"/>
    <x v="0"/>
    <n v="0"/>
    <s v="usd"/>
    <n v="5"/>
    <n v="0"/>
    <n v="0.45"/>
    <n v="0"/>
    <s v="usd"/>
    <s v="Live"/>
    <s v="Paid"/>
    <s v="SMARTBRACKET"/>
    <s v="cus_NWOh2otgF05loI"/>
    <m/>
    <s v="panderson@andersoneconomicgroup.com"/>
    <b v="1"/>
    <s v="pm_1MlLteKc9ZnUJQuy6XyroqUC"/>
    <n v="8003"/>
    <s v="American Express"/>
  </r>
  <r>
    <s v="ch_3MlLT0Kc9ZnUJQuy0QCi2Uap"/>
    <m/>
    <s v="Payment complete."/>
    <d v="2023-03-14T00:12:00"/>
    <n v="4"/>
    <x v="1"/>
    <n v="0"/>
    <s v="usd"/>
    <n v="4"/>
    <n v="0"/>
    <n v="0.42"/>
    <n v="0"/>
    <s v="usd"/>
    <s v="Live"/>
    <s v="Paid"/>
    <s v="SMARTBRACKET"/>
    <s v="cus_NWOF8ubStyrT42"/>
    <m/>
    <s v="zsmiller40@gmail.com"/>
    <b v="1"/>
    <s v="pm_1MlLTGKc9ZnUJQuymmPNvbjo"/>
    <n v="1634"/>
    <s v="Visa"/>
  </r>
  <r>
    <s v="ch_3MlL6WKc9ZnUJQuy1HTOrYBA"/>
    <m/>
    <s v="Payment complete."/>
    <d v="2023-03-13T23:48:00"/>
    <n v="5"/>
    <x v="0"/>
    <n v="0"/>
    <s v="usd"/>
    <n v="5"/>
    <n v="0"/>
    <n v="0.45"/>
    <n v="0"/>
    <s v="usd"/>
    <s v="Live"/>
    <s v="Paid"/>
    <s v="SMARTBRACKET"/>
    <s v="cus_NWNsLHtlizKjYM"/>
    <m/>
    <s v="curry.shopping@gmail.com"/>
    <b v="1"/>
    <s v="pm_1MlL6eKc9ZnUJQuyKnKkX9mw"/>
    <n v="5004"/>
    <s v="American Express"/>
  </r>
  <r>
    <s v="ch_3MlKUYKc9ZnUJQuy1TT2WYRr"/>
    <m/>
    <s v="Payment complete."/>
    <d v="2023-03-13T23:09:00"/>
    <n v="5"/>
    <x v="0"/>
    <n v="0"/>
    <s v="usd"/>
    <n v="5"/>
    <n v="0"/>
    <n v="0.45"/>
    <n v="0"/>
    <s v="usd"/>
    <s v="Live"/>
    <s v="Paid"/>
    <s v="SMARTBRACKET"/>
    <s v="cus_NWNFrWuZlTBokJ"/>
    <m/>
    <s v="roteandpit@live.com"/>
    <b v="1"/>
    <s v="pm_1MlKUqKc9ZnUJQuyV4piWJSp"/>
    <n v="6833"/>
    <s v="MasterCard"/>
  </r>
  <r>
    <s v="ch_3MlHuRKc9ZnUJQuy1VNAIjSA"/>
    <m/>
    <s v="Payment complete."/>
    <d v="2023-03-13T20:25:00"/>
    <n v="5"/>
    <x v="0"/>
    <n v="0"/>
    <s v="usd"/>
    <n v="5"/>
    <n v="0"/>
    <n v="0.45"/>
    <n v="0"/>
    <s v="usd"/>
    <s v="Live"/>
    <s v="Paid"/>
    <s v="SMARTBRACKET"/>
    <s v="cus_NWKbY6GaY2VzMS"/>
    <m/>
    <s v="smartbracket@eatafat.one"/>
    <b v="1"/>
    <s v="pm_1MlHwCKc9ZnUJQuyVlxyBNAF"/>
    <n v="7852"/>
    <s v="Visa"/>
  </r>
  <r>
    <s v="ch_3MlGi1Kc9ZnUJQuy0r2NikA4"/>
    <m/>
    <s v="Payment complete."/>
    <d v="2023-03-13T19:07:00"/>
    <n v="4"/>
    <x v="2"/>
    <n v="0"/>
    <s v="usd"/>
    <n v="4"/>
    <n v="0"/>
    <n v="0.42"/>
    <n v="0"/>
    <s v="usd"/>
    <s v="Live"/>
    <s v="Paid"/>
    <s v="SMARTBRACKET"/>
    <s v="cus_NWJL13LKEg3y6Q"/>
    <m/>
    <s v="tfinnan3@gmail.com"/>
    <b v="1"/>
    <s v="pm_1MlGimKc9ZnUJQuyKduLVS4M"/>
    <n v="6685"/>
    <s v="Visa"/>
  </r>
  <r>
    <s v="ch_3MlEbAKc9ZnUJQuy1VW6rd60"/>
    <m/>
    <s v="Payment complete."/>
    <d v="2023-03-13T16:56:00"/>
    <n v="5"/>
    <x v="0"/>
    <n v="0"/>
    <s v="usd"/>
    <n v="5"/>
    <n v="0"/>
    <n v="0.45"/>
    <n v="0"/>
    <s v="usd"/>
    <s v="Live"/>
    <s v="Paid"/>
    <s v="SMARTBRACKET"/>
    <s v="cus_NWHDOdM7S4eliz"/>
    <m/>
    <s v="tropicshades@aol.com"/>
    <b v="1"/>
    <s v="pm_1MlEfFKc9ZnUJQuyUcGhBVuH"/>
    <n v="2200"/>
    <s v="Visa"/>
  </r>
  <r>
    <s v="ch_3MlEWeKc9ZnUJQuy1cbit1X1"/>
    <m/>
    <s v="Payment complete."/>
    <d v="2023-03-13T16:48:00"/>
    <n v="5"/>
    <x v="0"/>
    <n v="0"/>
    <s v="usd"/>
    <n v="5"/>
    <n v="0"/>
    <n v="0.45"/>
    <n v="0"/>
    <s v="usd"/>
    <s v="Live"/>
    <s v="Paid"/>
    <s v="SMARTBRACKET"/>
    <s v="cus_NWH6Qhs3JG15ry"/>
    <m/>
    <s v="johndowney31@gmail.com"/>
    <b v="1"/>
    <s v="pm_1MlEY3Kc9ZnUJQuymAVG5ykn"/>
    <n v="3000"/>
    <s v="American Express"/>
  </r>
  <r>
    <s v="ch_3MlEJ9Kc9ZnUJQuy0VETx4FG"/>
    <m/>
    <s v="Payment complete."/>
    <d v="2023-03-13T16:34:00"/>
    <n v="5"/>
    <x v="0"/>
    <n v="0"/>
    <s v="usd"/>
    <n v="5"/>
    <n v="0"/>
    <n v="0.45"/>
    <n v="0"/>
    <s v="usd"/>
    <s v="Live"/>
    <s v="Paid"/>
    <s v="SMARTBRACKET"/>
    <s v="cus_NWGsxROYRoivHS"/>
    <m/>
    <s v="terencejosephfitzpatrick@gmail.com"/>
    <b v="1"/>
    <s v="pm_1MlEKlKc9ZnUJQuy2Wd1MhaS"/>
    <n v="7855"/>
    <s v="Visa"/>
  </r>
  <r>
    <s v="ch_3MlEHPKc9ZnUJQuy1bx3BMq5"/>
    <m/>
    <s v="Payment complete."/>
    <d v="2023-03-13T16:31:00"/>
    <n v="5"/>
    <x v="0"/>
    <n v="0"/>
    <s v="usd"/>
    <n v="5"/>
    <n v="0"/>
    <n v="0.45"/>
    <n v="0"/>
    <s v="usd"/>
    <s v="Live"/>
    <s v="Paid"/>
    <s v="SMARTBRACKET"/>
    <s v="cus_NWGpYaXbpgGAgd"/>
    <m/>
    <s v="jcascio@bellsouth.net"/>
    <b v="1"/>
    <s v="pm_1MlEHrKc9ZnUJQuyDOcNX1Sa"/>
    <n v="7096"/>
    <s v="Visa"/>
  </r>
  <r>
    <s v="ch_3MlE2FKc9ZnUJQuy14979seO"/>
    <m/>
    <s v="Payment complete."/>
    <d v="2023-03-13T16:28:00"/>
    <n v="4"/>
    <x v="1"/>
    <n v="0"/>
    <s v="usd"/>
    <n v="4"/>
    <n v="0"/>
    <n v="0.42"/>
    <n v="0"/>
    <s v="usd"/>
    <s v="Live"/>
    <s v="Paid"/>
    <s v="SMARTBRACKET"/>
    <s v="cus_NWGmbP9N0zlDp5"/>
    <m/>
    <s v="john.magee12@gmail.com"/>
    <b v="1"/>
    <s v="pm_1MlEEYKc9ZnUJQuy5cJCBgcr"/>
    <n v="7668"/>
    <s v="MasterCard"/>
  </r>
  <r>
    <s v="ch_3MlDh3Kc9ZnUJQuy1NgQ47I2"/>
    <m/>
    <s v="Payment complete."/>
    <d v="2023-03-13T15:56:00"/>
    <n v="5"/>
    <x v="0"/>
    <n v="0"/>
    <s v="usd"/>
    <n v="5"/>
    <n v="0"/>
    <n v="0.45"/>
    <n v="0"/>
    <s v="usd"/>
    <s v="Live"/>
    <s v="Paid"/>
    <s v="SMARTBRACKET"/>
    <s v="cus_NWGG2WQycAy2Rq"/>
    <m/>
    <s v="jrandall711@gmail.com"/>
    <b v="1"/>
    <s v="pm_1MlDjaKc9ZnUJQuyLs0hbu89"/>
    <n v="138"/>
    <s v="Visa"/>
  </r>
  <r>
    <s v="ch_3MlCRnKc9ZnUJQuy1yWb1krO"/>
    <m/>
    <s v="Payment complete."/>
    <d v="2023-03-13T14:35:00"/>
    <n v="5"/>
    <x v="0"/>
    <n v="0"/>
    <s v="usd"/>
    <n v="5"/>
    <n v="0"/>
    <n v="0.45"/>
    <n v="0"/>
    <s v="usd"/>
    <s v="Live"/>
    <s v="Paid"/>
    <s v="SMARTBRACKET"/>
    <s v="cus_NWExeX8OlsoJq3"/>
    <m/>
    <s v="ken@sorensoncpas.com"/>
    <b v="1"/>
    <s v="pm_1MlCT6Kc9ZnUJQuyRWx4r9Sr"/>
    <n v="1076"/>
    <s v="MasterCard"/>
  </r>
  <r>
    <s v="ch_3MlCFsKc9ZnUJQuy0XJwMxxr"/>
    <m/>
    <s v="Payment complete."/>
    <d v="2023-03-13T14:23:00"/>
    <n v="5"/>
    <x v="0"/>
    <n v="0"/>
    <s v="usd"/>
    <n v="5"/>
    <n v="0"/>
    <n v="0.45"/>
    <n v="0"/>
    <s v="usd"/>
    <s v="Live"/>
    <s v="Paid"/>
    <s v="SMARTBRACKET"/>
    <s v="cus_NWElH9a5BtOZ8v"/>
    <m/>
    <s v="mikecolvin53@yahoo.com"/>
    <b v="1"/>
    <s v="pm_1MlCHrKc9ZnUJQuyyD49HCKo"/>
    <n v="3413"/>
    <s v="Visa"/>
  </r>
  <r>
    <s v="ch_3MlCFHKc9ZnUJQuy1fniwOaw"/>
    <m/>
    <s v="Payment complete."/>
    <d v="2023-03-13T14:22:00"/>
    <n v="4"/>
    <x v="1"/>
    <n v="0"/>
    <s v="usd"/>
    <n v="4"/>
    <n v="0"/>
    <n v="0.42"/>
    <n v="0"/>
    <s v="usd"/>
    <s v="Live"/>
    <s v="Paid"/>
    <s v="SMARTBRACKET"/>
    <s v="cus_NWEktsXSr2tOzT"/>
    <m/>
    <s v="gary@trainmgmt.com"/>
    <b v="1"/>
    <s v="pm_1MlCGmKc9ZnUJQuypn0a8OAz"/>
    <n v="8899"/>
    <s v="Visa"/>
  </r>
  <r>
    <s v="ch_3MlBn6Kc9ZnUJQuy1GQZTzcy"/>
    <m/>
    <s v="Payment complete."/>
    <d v="2023-03-13T13:58:00"/>
    <n v="4"/>
    <x v="1"/>
    <n v="0"/>
    <s v="usd"/>
    <n v="4"/>
    <n v="0"/>
    <n v="0.42"/>
    <n v="0"/>
    <s v="usd"/>
    <s v="Live"/>
    <s v="Paid"/>
    <s v="SMARTBRACKET"/>
    <s v="cus_NWEM9ouY9uOVBq"/>
    <m/>
    <s v="brad.schuldt@att.net"/>
    <b v="1"/>
    <s v="pm_1MlBtSKc9ZnUJQuyKyajuQxS"/>
    <n v="3519"/>
    <s v="Visa"/>
  </r>
  <r>
    <s v="ch_3Ml8SHKc9ZnUJQuy01WrITix"/>
    <m/>
    <s v="Payment complete."/>
    <d v="2023-03-13T10:18:00"/>
    <n v="5"/>
    <x v="0"/>
    <n v="0"/>
    <s v="usd"/>
    <n v="5"/>
    <n v="0"/>
    <n v="0.45"/>
    <n v="0"/>
    <s v="usd"/>
    <s v="Live"/>
    <s v="Paid"/>
    <s v="SMARTBRACKET"/>
    <s v="cus_NWAo3xuWxAaspS"/>
    <m/>
    <s v="macdonrm@hotmail.com"/>
    <b v="1"/>
    <s v="pm_1Ml8SfKc9ZnUJQuyrASONALw"/>
    <n v="6447"/>
    <s v="Visa"/>
  </r>
  <r>
    <s v="ch_3MkyRUKc9ZnUJQuy1qeRSg6r"/>
    <m/>
    <s v="Payment complete."/>
    <d v="2023-03-13T01:03:00"/>
    <n v="5"/>
    <x v="0"/>
    <n v="0"/>
    <s v="usd"/>
    <n v="5"/>
    <n v="0"/>
    <n v="0.45"/>
    <n v="0"/>
    <s v="usd"/>
    <s v="Live"/>
    <s v="Paid"/>
    <s v="SMARTBRACKET"/>
    <s v="cus_NW1rak0FRTQnmL"/>
    <m/>
    <s v="billykna@gmail.com"/>
    <b v="1"/>
    <s v="pm_1MkznNKc9ZnUJQuyvJllXRmK"/>
    <n v="3647"/>
    <s v="Visa"/>
  </r>
  <r>
    <s v="ch_3MkzaVKc9ZnUJQuy155XjQY7"/>
    <m/>
    <s v="Payment complete."/>
    <d v="2023-03-13T00:50:00"/>
    <n v="5"/>
    <x v="0"/>
    <n v="0"/>
    <s v="usd"/>
    <n v="5"/>
    <n v="0"/>
    <n v="0.45"/>
    <n v="0"/>
    <s v="usd"/>
    <s v="Live"/>
    <s v="Paid"/>
    <s v="SMARTBRACKET"/>
    <s v="cus_NW1dkH1EmneLwD"/>
    <m/>
    <s v="logan.groulx@gmail.com"/>
    <b v="1"/>
    <s v="pm_1MkzagKc9ZnUJQuySaTjHtva"/>
    <n v="2197"/>
    <s v="Visa"/>
  </r>
  <r>
    <s v="ch_3Mkz7SKc9ZnUJQuy04KceIEH"/>
    <m/>
    <s v="Payment complete."/>
    <d v="2023-03-13T00:20:00"/>
    <n v="5"/>
    <x v="0"/>
    <n v="0"/>
    <s v="usd"/>
    <n v="5"/>
    <n v="0"/>
    <n v="0.45"/>
    <n v="0"/>
    <s v="usd"/>
    <s v="Live"/>
    <s v="Paid"/>
    <s v="SMARTBRACKET"/>
    <s v="cus_NW19Vbelv7LZPI"/>
    <m/>
    <s v="balsnow@gmail.com"/>
    <b v="1"/>
    <s v="pm_1Mkz7dKc9ZnUJQuyCEcbUgB0"/>
    <n v="7439"/>
    <s v="MasterCard"/>
  </r>
  <r>
    <s v="ch_3Mku3xKc9ZnUJQuy1PyvYLe5"/>
    <m/>
    <s v="Payment complete."/>
    <d v="2023-03-12T18:57:00"/>
    <n v="5"/>
    <x v="0"/>
    <n v="0"/>
    <s v="usd"/>
    <n v="5"/>
    <n v="0"/>
    <n v="0.45"/>
    <n v="0"/>
    <s v="usd"/>
    <s v="Live"/>
    <s v="Paid"/>
    <s v="SMARTBRACKET"/>
    <s v="cus_NVvx75KMblVxgr"/>
    <m/>
    <s v="kurttkinslow@gmail.com"/>
    <b v="1"/>
    <s v="pm_1Mku56Kc9ZnUJQuyFUBi6Iad"/>
    <n v="5417"/>
    <s v="Visa"/>
  </r>
  <r>
    <s v="ch_3MktyzKc9ZnUJQuy15suXWSj"/>
    <m/>
    <s v="Payment complete."/>
    <d v="2023-03-12T18:51:00"/>
    <n v="5"/>
    <x v="0"/>
    <n v="0"/>
    <s v="usd"/>
    <n v="5"/>
    <n v="0"/>
    <n v="0.45"/>
    <n v="0"/>
    <s v="usd"/>
    <s v="Live"/>
    <s v="Paid"/>
    <s v="SMARTBRACKET"/>
    <s v="cus_NVvrWmHBTYj2hY"/>
    <m/>
    <s v="kmcla10566@gmail.com"/>
    <b v="1"/>
    <s v="pm_1MktzoKc9ZnUJQuyl262EvDo"/>
    <n v="9001"/>
    <s v="American Express"/>
  </r>
  <r>
    <s v="ch_3MkXMpKc9ZnUJQuy1Rkt2hHm"/>
    <m/>
    <s v="Payment complete."/>
    <d v="2023-03-11T18:42:00"/>
    <n v="5"/>
    <x v="0"/>
    <n v="0"/>
    <s v="usd"/>
    <n v="5"/>
    <n v="0"/>
    <n v="0.45"/>
    <n v="0"/>
    <s v="usd"/>
    <s v="Live"/>
    <s v="Paid"/>
    <s v="SMARTBRACKET"/>
    <s v="cus_NVYUll96g7w5cS"/>
    <m/>
    <s v="scott.janovec@gmail.com"/>
    <b v="1"/>
    <s v="pm_1MkXNQKc9ZnUJQuyei8bz6bF"/>
    <n v="2427"/>
    <s v="Visa"/>
  </r>
  <r>
    <s v="ch_3MkBTvKc9ZnUJQuy1zihNxZh"/>
    <m/>
    <s v="Payment complete."/>
    <d v="2023-03-10T19:20:00"/>
    <n v="5"/>
    <x v="0"/>
    <n v="0"/>
    <s v="usd"/>
    <n v="5"/>
    <n v="0"/>
    <n v="0.45"/>
    <n v="0"/>
    <s v="usd"/>
    <s v="Live"/>
    <s v="Paid"/>
    <s v="SMARTBRACKET"/>
    <s v="cus_NVBs1d1iOXYTxI"/>
    <m/>
    <s v="bradrcurry@gmail.com"/>
    <b v="1"/>
    <s v="pm_1MkBUeKc9ZnUJQuykbFaEyKS"/>
    <n v="8864"/>
    <s v="Visa"/>
  </r>
  <r>
    <s v="ch_3Mip3MKc9ZnUJQuy0NXCh9yy"/>
    <m/>
    <s v="Payment complete."/>
    <d v="2023-03-07T01:12:00"/>
    <n v="5"/>
    <x v="0"/>
    <n v="0"/>
    <s v="usd"/>
    <n v="5"/>
    <n v="0"/>
    <n v="0.45"/>
    <n v="0"/>
    <s v="usd"/>
    <s v="Live"/>
    <s v="Paid"/>
    <s v="SMARTBRACKET"/>
    <s v="cus_NTmdPkmzZwNkQa"/>
    <m/>
    <s v="ryanmyoung.12@gmail.com"/>
    <b v="1"/>
    <s v="pm_1Mip4YKc9ZnUJQuyMWrXoagx"/>
    <n v="9936"/>
    <s v="Visa"/>
  </r>
  <r>
    <m/>
    <m/>
    <m/>
    <m/>
    <m/>
    <x v="4"/>
    <m/>
    <m/>
    <m/>
    <m/>
    <m/>
    <m/>
    <m/>
    <m/>
    <m/>
    <m/>
    <m/>
    <m/>
    <m/>
    <m/>
    <m/>
    <m/>
    <m/>
  </r>
  <r>
    <m/>
    <m/>
    <m/>
    <m/>
    <m/>
    <x v="4"/>
    <m/>
    <m/>
    <m/>
    <m/>
    <m/>
    <m/>
    <m/>
    <m/>
    <m/>
    <m/>
    <m/>
    <m/>
    <m/>
    <m/>
    <m/>
    <m/>
    <m/>
  </r>
  <r>
    <m/>
    <m/>
    <m/>
    <m/>
    <m/>
    <x v="4"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h_3OwnZ4Kc9ZnUJQuy1mfilHRO"/>
    <d v="2024-03-21T15:32:26"/>
    <b v="0"/>
    <n v="4"/>
    <x v="0"/>
    <n v="0.42"/>
    <n v="0.105"/>
    <b v="0"/>
    <m/>
    <m/>
    <s v="US"/>
    <n v="27612"/>
    <m/>
    <s v="pass"/>
    <s v="Visa"/>
    <s v="pass"/>
    <n v="1"/>
    <n v="2027"/>
    <s v="oqGUE2Xl0jgTxmCy"/>
    <s v="credit"/>
    <s v="US"/>
    <n v="6719"/>
    <m/>
  </r>
  <r>
    <s v="ch_3OwmjPKc9ZnUJQuy0yLo7PDW"/>
    <d v="2024-03-21T14:37:47"/>
    <b v="0"/>
    <n v="5"/>
    <x v="1"/>
    <n v="0.45"/>
    <n v="0.09"/>
    <b v="0"/>
    <m/>
    <m/>
    <s v="US"/>
    <n v="18954"/>
    <m/>
    <s v="pass"/>
    <s v="MasterCard"/>
    <s v="pass"/>
    <n v="2"/>
    <n v="2026"/>
    <s v="YSVSvhGBGKsvbFpb"/>
    <s v="credit"/>
    <s v="US"/>
    <n v="1009"/>
    <m/>
  </r>
  <r>
    <s v="ch_3Owm3PKc9ZnUJQuy0ikdyTXP"/>
    <d v="2024-03-21T13:54:26"/>
    <b v="0"/>
    <n v="5"/>
    <x v="1"/>
    <n v="0.45"/>
    <n v="0.09"/>
    <b v="0"/>
    <m/>
    <m/>
    <s v="US"/>
    <n v="55306"/>
    <m/>
    <s v="pass"/>
    <s v="Discover"/>
    <s v="pass"/>
    <n v="12"/>
    <n v="2027"/>
    <s v="JRjUuxy13pMOe42p"/>
    <s v="credit"/>
    <s v="US"/>
    <n v="47"/>
    <m/>
  </r>
  <r>
    <s v="ch_3Owm09Kc9ZnUJQuy1kDTHDFP"/>
    <d v="2024-03-21T13:51:23"/>
    <b v="0"/>
    <n v="4"/>
    <x v="0"/>
    <n v="0.42"/>
    <n v="0.105"/>
    <b v="0"/>
    <m/>
    <m/>
    <s v="US"/>
    <n v="48823"/>
    <m/>
    <s v="pass"/>
    <s v="American Express"/>
    <s v="pass"/>
    <n v="7"/>
    <n v="2026"/>
    <s v="1ZRXoRTu0fVmuW5Z"/>
    <s v="credit"/>
    <s v="US"/>
    <n v="5009"/>
    <m/>
  </r>
  <r>
    <s v="ch_3OwlGPKc9ZnUJQuy1Uv8ka2O"/>
    <d v="2024-03-21T13:03:37"/>
    <b v="0"/>
    <n v="4"/>
    <x v="0"/>
    <n v="0.42"/>
    <n v="0.105"/>
    <b v="0"/>
    <m/>
    <m/>
    <s v="US"/>
    <n v="48073"/>
    <m/>
    <s v="pass"/>
    <s v="American Express"/>
    <s v="pass"/>
    <n v="2"/>
    <n v="2029"/>
    <s v="EYfDcsVvXpCpIUi8"/>
    <s v="credit"/>
    <s v="US"/>
    <n v="1002"/>
    <m/>
  </r>
  <r>
    <s v="ch_3OwkwnKc9ZnUJQuy1Impis0s"/>
    <d v="2024-03-21T12:46:35"/>
    <b v="0"/>
    <n v="4"/>
    <x v="0"/>
    <n v="0.42"/>
    <n v="0.105"/>
    <b v="0"/>
    <s v="East Lansing "/>
    <s v="MI"/>
    <s v="US"/>
    <n v="48823"/>
    <s v="fail"/>
    <s v="fail"/>
    <s v="Visa"/>
    <m/>
    <n v="2"/>
    <n v="2031"/>
    <s v="IzzJFXMsi7oA3O8h"/>
    <s v="credit"/>
    <s v="US"/>
    <n v="8072"/>
    <s v="apple_pay"/>
  </r>
  <r>
    <s v="ch_3OwksVKc9ZnUJQuy0Mc21rag"/>
    <d v="2024-03-21T12:38:06"/>
    <b v="0"/>
    <n v="5"/>
    <x v="1"/>
    <n v="0.45"/>
    <n v="0.09"/>
    <b v="0"/>
    <m/>
    <m/>
    <s v="US"/>
    <n v="33401"/>
    <m/>
    <s v="pass"/>
    <s v="Visa"/>
    <s v="pass"/>
    <n v="4"/>
    <n v="2028"/>
    <s v="TEPnX05oHwext7mG"/>
    <s v="credit"/>
    <s v="US"/>
    <n v="1008"/>
    <m/>
  </r>
  <r>
    <s v="ch_3OwjmRKc9ZnUJQuy0wMvktF8"/>
    <d v="2024-03-21T11:27:49"/>
    <b v="0"/>
    <n v="5"/>
    <x v="1"/>
    <n v="0.45"/>
    <n v="0.09"/>
    <b v="0"/>
    <s v="Shillington"/>
    <s v="PA"/>
    <s v="US"/>
    <n v="19607"/>
    <s v="pass"/>
    <s v="pass"/>
    <s v="Visa"/>
    <m/>
    <n v="1"/>
    <n v="2029"/>
    <s v="vqEp0fo10woWlwEn"/>
    <s v="debit"/>
    <s v="US"/>
    <n v="4584"/>
    <s v="apple_pay"/>
  </r>
  <r>
    <s v="ch_3Owj9uKc9ZnUJQuy0wM2tBx5"/>
    <d v="2024-03-21T10:47:55"/>
    <b v="0"/>
    <n v="5"/>
    <x v="1"/>
    <n v="0.45"/>
    <n v="0.09"/>
    <b v="0"/>
    <s v="Vienna"/>
    <s v="VA"/>
    <s v="US"/>
    <n v="22180"/>
    <s v="pass"/>
    <s v="pass"/>
    <s v="Visa"/>
    <m/>
    <n v="3"/>
    <n v="2027"/>
    <s v="2yuH89g7OVQQJTqC"/>
    <s v="debit"/>
    <s v="US"/>
    <n v="6940"/>
    <s v="apple_pay"/>
  </r>
  <r>
    <s v="ch_3OwcyQKc9ZnUJQuy1owQICV4"/>
    <d v="2024-03-21T04:12:20"/>
    <b v="0"/>
    <n v="5"/>
    <x v="1"/>
    <n v="0.45"/>
    <n v="0.09"/>
    <b v="0"/>
    <s v="Mount Pleasant"/>
    <s v="WI"/>
    <s v="US"/>
    <n v="53406"/>
    <s v="pass"/>
    <s v="pass"/>
    <s v="Visa"/>
    <m/>
    <n v="12"/>
    <n v="2030"/>
    <s v="t5SExMom9JlODqcc"/>
    <s v="credit"/>
    <s v="US"/>
    <n v="595"/>
    <s v="apple_pay"/>
  </r>
  <r>
    <s v="ch_3Owcv4Kc9ZnUJQuy0WEETCX2"/>
    <d v="2024-03-21T04:08:32"/>
    <b v="0"/>
    <n v="5"/>
    <x v="1"/>
    <n v="0.45"/>
    <n v="0.09"/>
    <b v="0"/>
    <s v="Miami"/>
    <s v="FL"/>
    <s v="US"/>
    <n v="33155"/>
    <s v="pass"/>
    <s v="pass"/>
    <s v="American Express"/>
    <m/>
    <n v="11"/>
    <n v="2024"/>
    <s v="RGjuPb5pgT0Ahgey"/>
    <s v="credit"/>
    <s v="US"/>
    <n v="2003"/>
    <s v="apple_pay"/>
  </r>
  <r>
    <s v="ch_3OwcUlKc9ZnUJQuy05ORsmGH"/>
    <d v="2024-03-21T03:41:12"/>
    <b v="0"/>
    <n v="5"/>
    <x v="1"/>
    <n v="0.45"/>
    <n v="0.09"/>
    <b v="1"/>
    <m/>
    <m/>
    <s v="US"/>
    <n v="84106"/>
    <m/>
    <s v="pass"/>
    <s v="American Express"/>
    <s v="pass"/>
    <n v="5"/>
    <n v="2026"/>
    <s v="n4vGdxhkODV7Rxwh"/>
    <s v="credit"/>
    <s v="US"/>
    <n v="3005"/>
    <s v="link"/>
  </r>
  <r>
    <s v="ch_3OwbmbKc9ZnUJQuy0VHOvlfc"/>
    <d v="2024-03-21T02:55:39"/>
    <b v="0"/>
    <n v="5"/>
    <x v="1"/>
    <n v="0.45"/>
    <n v="0.09"/>
    <b v="1"/>
    <m/>
    <m/>
    <s v="US"/>
    <n v="94549"/>
    <m/>
    <s v="pass"/>
    <s v="Visa"/>
    <s v="pass"/>
    <n v="6"/>
    <n v="2026"/>
    <s v="p9SNEieDOyp1EK3H"/>
    <s v="debit"/>
    <s v="US"/>
    <n v="6007"/>
    <s v="link"/>
  </r>
  <r>
    <s v="ch_3OwbWnKc9ZnUJQuy0tfgXK8L"/>
    <d v="2024-03-21T02:40:02"/>
    <b v="0"/>
    <n v="5"/>
    <x v="1"/>
    <n v="0.45"/>
    <n v="0.09"/>
    <b v="0"/>
    <m/>
    <m/>
    <s v="US"/>
    <n v="50323"/>
    <m/>
    <s v="pass"/>
    <s v="MasterCard"/>
    <s v="pass"/>
    <n v="9"/>
    <n v="2026"/>
    <s v="1eU71yJ3opZJneWT"/>
    <s v="prepaid"/>
    <s v="US"/>
    <n v="35"/>
    <m/>
  </r>
  <r>
    <s v="ch_3OwaaVKc9ZnUJQuy1Lme2i1e"/>
    <d v="2024-03-21T01:40:24"/>
    <b v="0"/>
    <n v="5"/>
    <x v="1"/>
    <n v="0.45"/>
    <n v="0.09"/>
    <b v="1"/>
    <m/>
    <m/>
    <s v="US"/>
    <n v="20170"/>
    <m/>
    <s v="pass"/>
    <s v="Visa"/>
    <s v="pass"/>
    <n v="7"/>
    <n v="2028"/>
    <s v="AMDpUwlT8QHtDVdP"/>
    <s v="prepaid"/>
    <s v="US"/>
    <n v="4567"/>
    <s v="link"/>
  </r>
  <r>
    <s v="ch_3OwaLVKc9ZnUJQuy0glBwty3"/>
    <d v="2024-03-21T01:23:24"/>
    <b v="0"/>
    <n v="5"/>
    <x v="1"/>
    <n v="0.45"/>
    <n v="0.09"/>
    <b v="1"/>
    <m/>
    <m/>
    <s v="US"/>
    <n v="48093"/>
    <m/>
    <s v="pass"/>
    <s v="MasterCard"/>
    <s v="pass"/>
    <n v="4"/>
    <n v="2026"/>
    <s v="THgGvNjBMKha72Ny"/>
    <s v="debit"/>
    <s v="US"/>
    <n v="8332"/>
    <s v="link"/>
  </r>
  <r>
    <s v="ch_3OwZwzKc9ZnUJQuy0gan3wu8"/>
    <d v="2024-03-21T00:58:04"/>
    <b v="0"/>
    <n v="5"/>
    <x v="1"/>
    <n v="0.45"/>
    <n v="0.09"/>
    <b v="1"/>
    <s v="South Bend"/>
    <s v="IN"/>
    <s v="US"/>
    <n v="46628"/>
    <s v="pass"/>
    <s v="pass"/>
    <s v="Visa"/>
    <s v="pass"/>
    <n v="2"/>
    <n v="2026"/>
    <s v="QM9o4nwTk9nVW7Wc"/>
    <s v="debit"/>
    <s v="US"/>
    <n v="6685"/>
    <s v="link"/>
  </r>
  <r>
    <s v="ch_3OwZoPKc9ZnUJQuy0mpwtiUW"/>
    <d v="2024-03-21T00:49:43"/>
    <b v="0"/>
    <n v="5"/>
    <x v="1"/>
    <n v="0.45"/>
    <n v="0.09"/>
    <b v="0"/>
    <m/>
    <m/>
    <s v="US"/>
    <n v="48317"/>
    <m/>
    <s v="pass"/>
    <s v="American Express"/>
    <s v="pass"/>
    <n v="3"/>
    <n v="2027"/>
    <s v="nfosM9Gm6hNzCXyK"/>
    <s v="credit"/>
    <s v="US"/>
    <n v="3001"/>
    <m/>
  </r>
  <r>
    <s v="ch_3OwZivKc9ZnUJQuy0gINEyDJ"/>
    <d v="2024-03-21T00:44:34"/>
    <b v="0"/>
    <n v="5"/>
    <x v="1"/>
    <n v="0.45"/>
    <n v="0.09"/>
    <b v="0"/>
    <m/>
    <m/>
    <s v="US"/>
    <n v="30101"/>
    <m/>
    <s v="pass"/>
    <s v="MasterCard"/>
    <s v="pass"/>
    <n v="9"/>
    <n v="2027"/>
    <s v="jPQReWzW6y4Q390M"/>
    <s v="credit"/>
    <s v="US"/>
    <n v="6051"/>
    <m/>
  </r>
  <r>
    <s v="ch_3OwZVVKc9ZnUJQuy1sxjo0dt"/>
    <d v="2024-03-21T00:32:45"/>
    <b v="0"/>
    <n v="4"/>
    <x v="2"/>
    <n v="0.42"/>
    <n v="0.105"/>
    <b v="0"/>
    <m/>
    <m/>
    <s v="US"/>
    <n v="19343"/>
    <m/>
    <s v="pass"/>
    <s v="MasterCard"/>
    <s v="pass"/>
    <n v="1"/>
    <n v="2029"/>
    <s v="WYDsMZeodDDRj0vB"/>
    <s v="debit"/>
    <s v="US"/>
    <n v="5887"/>
    <m/>
  </r>
  <r>
    <s v="ch_3OwYanKc9ZnUJQuy1IFrvDcl"/>
    <d v="2024-03-20T23:33:44"/>
    <b v="0"/>
    <n v="5"/>
    <x v="1"/>
    <n v="0.45"/>
    <n v="0.09"/>
    <b v="1"/>
    <m/>
    <m/>
    <s v="US"/>
    <n v="10594"/>
    <m/>
    <s v="pass"/>
    <s v="Visa"/>
    <s v="pass"/>
    <n v="2"/>
    <n v="2027"/>
    <s v="OFfZisc4FNB1lOrp"/>
    <s v="credit"/>
    <s v="US"/>
    <n v="4921"/>
    <s v="link"/>
  </r>
  <r>
    <s v="ch_3OwXyEKc9ZnUJQuy1msVwt9z"/>
    <d v="2024-03-20T22:51:45"/>
    <b v="0"/>
    <n v="5"/>
    <x v="1"/>
    <n v="0.45"/>
    <n v="0.09"/>
    <b v="0"/>
    <m/>
    <m/>
    <s v="US"/>
    <n v="2180"/>
    <m/>
    <s v="pass"/>
    <s v="Visa"/>
    <s v="pass"/>
    <n v="11"/>
    <n v="2026"/>
    <s v="KQYpw9ecXfTiD5SY"/>
    <s v="credit"/>
    <s v="US"/>
    <n v="6970"/>
    <m/>
  </r>
  <r>
    <s v="ch_3OwWVjKc9ZnUJQuy1sCHWghS"/>
    <d v="2024-03-20T21:21:02"/>
    <b v="0"/>
    <n v="5"/>
    <x v="1"/>
    <n v="0.45"/>
    <n v="0.09"/>
    <b v="1"/>
    <m/>
    <m/>
    <s v="US"/>
    <n v="21601"/>
    <m/>
    <s v="pass"/>
    <s v="American Express"/>
    <s v="pass"/>
    <n v="12"/>
    <n v="2027"/>
    <s v="VMIDMMVD0QHsj6Fa"/>
    <s v="credit"/>
    <s v="US"/>
    <n v="1003"/>
    <s v="link"/>
  </r>
  <r>
    <s v="ch_3OwW2LKc9ZnUJQuy1FexpZVS"/>
    <d v="2024-03-20T20:48:56"/>
    <b v="0"/>
    <n v="5"/>
    <x v="1"/>
    <n v="0.45"/>
    <n v="0.09"/>
    <b v="1"/>
    <m/>
    <m/>
    <s v="US"/>
    <n v="60506"/>
    <m/>
    <s v="pass"/>
    <s v="MasterCard"/>
    <s v="pass"/>
    <n v="2"/>
    <n v="2026"/>
    <s v="WNEku6v3sIjYmJ3U"/>
    <s v="debit"/>
    <s v="US"/>
    <n v="2565"/>
    <s v="link"/>
  </r>
  <r>
    <s v="ch_3OwVeGKc9ZnUJQuy1YSJQBDj"/>
    <d v="2024-03-20T20:22:24"/>
    <b v="0"/>
    <n v="5"/>
    <x v="1"/>
    <n v="0.45"/>
    <n v="0.09"/>
    <b v="0"/>
    <s v="Pasadena "/>
    <s v="CA"/>
    <s v="US"/>
    <n v="91105"/>
    <s v="pass"/>
    <s v="pass"/>
    <s v="Visa"/>
    <m/>
    <n v="2"/>
    <n v="2030"/>
    <s v="gqXu2kQoJ0TUhYNi"/>
    <s v="credit"/>
    <s v="US"/>
    <n v="8810"/>
    <s v="apple_pay"/>
  </r>
  <r>
    <s v="ch_3OwVNdKc9ZnUJQuy1bAoCTZX"/>
    <d v="2024-03-20T20:05:59"/>
    <b v="0"/>
    <n v="4"/>
    <x v="2"/>
    <n v="0.42"/>
    <n v="0.105"/>
    <b v="1"/>
    <s v="Crofton"/>
    <s v="MD"/>
    <s v="US"/>
    <n v="21114"/>
    <s v="pass"/>
    <s v="pass"/>
    <s v="MasterCard"/>
    <s v="pass"/>
    <n v="12"/>
    <n v="2024"/>
    <s v="CZMEMhJK5cwFgdpv"/>
    <s v="debit"/>
    <s v="US"/>
    <n v="8307"/>
    <s v="link"/>
  </r>
  <r>
    <s v="ch_3OwUNFKc9ZnUJQuy17XR1XcN"/>
    <d v="2024-03-20T19:00:56"/>
    <b v="0"/>
    <n v="5"/>
    <x v="1"/>
    <n v="0.45"/>
    <n v="0.09"/>
    <b v="0"/>
    <s v="Sherman Oaks"/>
    <s v="CA"/>
    <s v="US"/>
    <n v="91403"/>
    <s v="pass"/>
    <s v="pass"/>
    <s v="American Express"/>
    <m/>
    <n v="11"/>
    <n v="2024"/>
    <s v="XPEaaiIgJPVcWlXj"/>
    <s v="credit"/>
    <s v="US"/>
    <n v="2011"/>
    <s v="apple_pay"/>
  </r>
  <r>
    <s v="ch_3OwTVnKc9ZnUJQuy0I4C8pTx"/>
    <d v="2024-03-20T18:05:34"/>
    <b v="0"/>
    <n v="5"/>
    <x v="1"/>
    <n v="0.45"/>
    <n v="0.09"/>
    <b v="0"/>
    <m/>
    <m/>
    <s v="CA"/>
    <s v="V1B 3W8"/>
    <m/>
    <s v="pass"/>
    <s v="Visa"/>
    <s v="pass"/>
    <n v="2"/>
    <n v="2027"/>
    <s v="bbdMIKht2eetUhnh"/>
    <s v="credit"/>
    <s v="CA"/>
    <n v="2650"/>
    <m/>
  </r>
  <r>
    <s v="ch_3OwSK0Kc9ZnUJQuy1gLcO6lD"/>
    <d v="2024-03-20T16:49:33"/>
    <b v="0"/>
    <n v="5"/>
    <x v="1"/>
    <n v="0.45"/>
    <n v="0.09"/>
    <b v="1"/>
    <m/>
    <m/>
    <s v="US"/>
    <n v="48085"/>
    <m/>
    <s v="pass"/>
    <s v="Visa"/>
    <s v="pass"/>
    <n v="9"/>
    <n v="2027"/>
    <s v="6xyk4mrFSnWHhZNx"/>
    <s v="credit"/>
    <s v="US"/>
    <n v="4241"/>
    <s v="link"/>
  </r>
  <r>
    <s v="ch_3OwR1jKc9ZnUJQuy1Sff4Ehx"/>
    <d v="2024-03-20T15:26:54"/>
    <b v="0"/>
    <n v="5"/>
    <x v="1"/>
    <n v="0.45"/>
    <n v="0.09"/>
    <b v="0"/>
    <m/>
    <m/>
    <s v="US"/>
    <n v="92109"/>
    <m/>
    <s v="pass"/>
    <s v="Visa"/>
    <s v="pass"/>
    <n v="8"/>
    <n v="2026"/>
    <s v="dkvFMx3JrVGvb3qo"/>
    <s v="credit"/>
    <s v="US"/>
    <n v="3738"/>
    <m/>
  </r>
  <r>
    <s v="ch_3OwQX0Kc9ZnUJQuy1oTga71q"/>
    <d v="2024-03-20T14:54:40"/>
    <b v="0"/>
    <n v="5"/>
    <x v="1"/>
    <n v="0.45"/>
    <n v="0.09"/>
    <b v="0"/>
    <s v="Medina "/>
    <s v="MN"/>
    <s v="US"/>
    <n v="55340"/>
    <s v="pass"/>
    <s v="pass"/>
    <s v="MasterCard"/>
    <m/>
    <n v="1"/>
    <n v="2025"/>
    <s v="SYR9JTwXWinEpslU"/>
    <s v="debit"/>
    <s v="US"/>
    <n v="2114"/>
    <s v="apple_pay"/>
  </r>
  <r>
    <s v="ch_3OwQUgKc9ZnUJQuy0Qeh3H6L"/>
    <d v="2024-03-20T14:52:09"/>
    <b v="0"/>
    <n v="5"/>
    <x v="1"/>
    <n v="0.45"/>
    <n v="0.09"/>
    <b v="0"/>
    <s v="Kingwood"/>
    <s v="TX"/>
    <s v="US"/>
    <n v="77345"/>
    <s v="pass"/>
    <s v="pass"/>
    <s v="Visa"/>
    <m/>
    <n v="7"/>
    <n v="2031"/>
    <s v="WrmueWqnglFhxEVd"/>
    <s v="credit"/>
    <s v="US"/>
    <n v="7009"/>
    <s v="apple_pay"/>
  </r>
  <r>
    <s v="ch_3OwPZVKc9ZnUJQuy0SDjkVSW"/>
    <d v="2024-03-20T13:53:20"/>
    <b v="0"/>
    <n v="5"/>
    <x v="1"/>
    <n v="0.45"/>
    <n v="0.09"/>
    <b v="0"/>
    <s v="Nolensville"/>
    <s v="TN"/>
    <s v="US"/>
    <n v="37135"/>
    <s v="pass"/>
    <s v="pass"/>
    <s v="Visa"/>
    <m/>
    <n v="12"/>
    <n v="2029"/>
    <s v="Pa1fxXdIR3J6nX8b"/>
    <s v="credit"/>
    <s v="US"/>
    <n v="1226"/>
    <s v="google_pay"/>
  </r>
  <r>
    <s v="ch_3OwP5lKc9ZnUJQuy0MUIhLrE"/>
    <d v="2024-03-20T13:22:39"/>
    <b v="0"/>
    <n v="5"/>
    <x v="1"/>
    <n v="0.45"/>
    <n v="0.09"/>
    <b v="0"/>
    <m/>
    <m/>
    <s v="US"/>
    <n v="49504"/>
    <m/>
    <s v="pass"/>
    <s v="MasterCard"/>
    <s v="pass"/>
    <n v="9"/>
    <n v="2027"/>
    <s v="huGAYRhYmJSvwNCB"/>
    <s v="debit"/>
    <s v="US"/>
    <n v="9821"/>
    <m/>
  </r>
  <r>
    <s v="ch_3OwN22Kc9ZnUJQuy0Fw5R9vK"/>
    <d v="2024-03-20T11:11:04"/>
    <b v="0"/>
    <n v="5"/>
    <x v="1"/>
    <n v="0.45"/>
    <n v="0.09"/>
    <b v="0"/>
    <m/>
    <m/>
    <s v="US"/>
    <n v="1930"/>
    <m/>
    <s v="pass"/>
    <s v="Visa"/>
    <s v="pass"/>
    <n v="9"/>
    <n v="2024"/>
    <s v="tp8KlGKJ9uON0Fi5"/>
    <s v="credit"/>
    <s v="US"/>
    <n v="1122"/>
    <m/>
  </r>
  <r>
    <s v="ch_3OwIJdKc9ZnUJQuy0l8So1Es"/>
    <d v="2024-03-20T06:08:24"/>
    <b v="0"/>
    <n v="4"/>
    <x v="0"/>
    <n v="0.42"/>
    <n v="0.105"/>
    <b v="0"/>
    <s v="Saskatoon"/>
    <s v="SK"/>
    <s v="CA"/>
    <s v="S7J2R9"/>
    <s v="pass"/>
    <s v="pass"/>
    <s v="MasterCard"/>
    <m/>
    <n v="11"/>
    <n v="2026"/>
    <s v="LTRRwHz4EmUHgTkG"/>
    <s v="credit"/>
    <s v="CA"/>
    <n v="9504"/>
    <s v="apple_pay"/>
  </r>
  <r>
    <s v="ch_3OwGZGKc9ZnUJQuy0XZnhUsD"/>
    <d v="2024-03-20T04:17:13"/>
    <b v="0"/>
    <n v="4"/>
    <x v="2"/>
    <n v="0.42"/>
    <n v="0.105"/>
    <b v="0"/>
    <s v="Reno"/>
    <s v="NV"/>
    <s v="US"/>
    <n v="89523"/>
    <s v="pass"/>
    <s v="pass"/>
    <s v="MasterCard"/>
    <m/>
    <n v="7"/>
    <n v="2028"/>
    <s v="SWzOfqgqcKYndzMg"/>
    <s v="credit"/>
    <s v="US"/>
    <n v="8731"/>
    <s v="google_pay"/>
  </r>
  <r>
    <s v="ch_3OwFniKc9ZnUJQuy0zUv5eRB"/>
    <d v="2024-03-20T03:27:12"/>
    <b v="0"/>
    <n v="5"/>
    <x v="1"/>
    <n v="0.45"/>
    <n v="0.09"/>
    <b v="0"/>
    <m/>
    <m/>
    <s v="US"/>
    <n v="62025"/>
    <m/>
    <s v="pass"/>
    <s v="MasterCard"/>
    <s v="pass"/>
    <n v="8"/>
    <n v="2024"/>
    <s v="z3DmUO8s6xfoYT3R"/>
    <s v="credit"/>
    <s v="US"/>
    <n v="4702"/>
    <m/>
  </r>
  <r>
    <s v="ch_3OwFg4Kc9ZnUJQuy0nn6hVdV"/>
    <d v="2024-03-20T03:19:36"/>
    <b v="0"/>
    <n v="5"/>
    <x v="1"/>
    <n v="0.45"/>
    <n v="0.09"/>
    <b v="1"/>
    <m/>
    <m/>
    <s v="US"/>
    <n v="98116"/>
    <m/>
    <s v="pass"/>
    <s v="Visa"/>
    <s v="pass"/>
    <n v="8"/>
    <n v="2027"/>
    <s v="gVVAfxT5J0FX4yAU"/>
    <s v="credit"/>
    <s v="US"/>
    <n v="9278"/>
    <s v="link"/>
  </r>
  <r>
    <s v="ch_3OwFVQKc9ZnUJQuy0kmT06Yp"/>
    <d v="2024-03-20T03:08:50"/>
    <b v="0"/>
    <n v="5"/>
    <x v="1"/>
    <n v="0.45"/>
    <n v="0.09"/>
    <b v="0"/>
    <s v="Arlington"/>
    <s v="VA"/>
    <s v="US"/>
    <n v="22207"/>
    <s v="pass"/>
    <s v="pass"/>
    <s v="Visa"/>
    <m/>
    <n v="6"/>
    <n v="2028"/>
    <s v="vpfrUVe8NlmmMYwU"/>
    <s v="debit"/>
    <s v="US"/>
    <n v="2983"/>
    <s v="google_pay"/>
  </r>
  <r>
    <s v="ch_3OwEbMKc9ZnUJQuy1QT26Rtg"/>
    <d v="2024-03-20T02:10:39"/>
    <b v="0"/>
    <n v="4"/>
    <x v="0"/>
    <n v="0.42"/>
    <n v="0.105"/>
    <b v="0"/>
    <s v="East Lansing"/>
    <s v="MI"/>
    <s v="US"/>
    <n v="48823"/>
    <s v="pass"/>
    <s v="pass"/>
    <s v="American Express"/>
    <m/>
    <n v="11"/>
    <n v="2024"/>
    <s v="1myS8R5QwT39pdzp"/>
    <s v="credit"/>
    <s v="US"/>
    <n v="2014"/>
    <s v="apple_pay"/>
  </r>
  <r>
    <s v="ch_3OwEWUKc9ZnUJQuy1qM0s6Fq"/>
    <d v="2024-03-20T02:05:55"/>
    <b v="0"/>
    <n v="4"/>
    <x v="0"/>
    <n v="0.42"/>
    <n v="0.105"/>
    <b v="0"/>
    <s v="Benton"/>
    <s v="AR"/>
    <s v="US"/>
    <s v="72019-8545"/>
    <s v="pass"/>
    <s v="pass"/>
    <s v="MasterCard"/>
    <m/>
    <n v="3"/>
    <n v="2027"/>
    <s v="UrDPEtNbUEtWuYPd"/>
    <s v="credit"/>
    <s v="US"/>
    <n v="9222"/>
    <s v="apple_pay"/>
  </r>
  <r>
    <s v="ch_3OwDubKc9ZnUJQuy0mplDnVl"/>
    <d v="2024-03-20T01:27:25"/>
    <b v="0"/>
    <n v="5"/>
    <x v="1"/>
    <n v="0.45"/>
    <n v="0.09"/>
    <b v="1"/>
    <m/>
    <m/>
    <s v="US"/>
    <s v="29483-5632"/>
    <m/>
    <s v="pass"/>
    <s v="Visa"/>
    <s v="pass"/>
    <n v="3"/>
    <n v="2027"/>
    <s v="1VP5mLkh3IWWtd2g"/>
    <s v="debit"/>
    <s v="US"/>
    <n v="4107"/>
    <s v="link"/>
  </r>
  <r>
    <s v="ch_3OwDpPKc9ZnUJQuy1AiZSF2X"/>
    <d v="2024-03-20T01:20:44"/>
    <b v="0"/>
    <n v="5"/>
    <x v="1"/>
    <n v="0.45"/>
    <n v="0.09"/>
    <b v="0"/>
    <s v="Palm Beach gardens"/>
    <s v="FL"/>
    <s v="US"/>
    <n v="33418"/>
    <s v="pass"/>
    <s v="pass"/>
    <s v="American Express"/>
    <m/>
    <n v="11"/>
    <n v="2024"/>
    <s v="OFVG0iboVpKuB1Ua"/>
    <s v="credit"/>
    <s v="US"/>
    <n v="3007"/>
    <s v="apple_pay"/>
  </r>
  <r>
    <s v="ch_3OwDkjKc9ZnUJQuy0PJTMkay"/>
    <d v="2024-03-20T01:15:55"/>
    <b v="0"/>
    <n v="5"/>
    <x v="1"/>
    <n v="0.45"/>
    <n v="0.09"/>
    <b v="1"/>
    <m/>
    <m/>
    <s v="US"/>
    <n v="46818"/>
    <m/>
    <s v="pass"/>
    <s v="Discover"/>
    <s v="pass"/>
    <n v="9"/>
    <n v="2026"/>
    <s v="eTgi5bzG6yV4AmwV"/>
    <s v="credit"/>
    <s v="US"/>
    <n v="2063"/>
    <s v="link"/>
  </r>
  <r>
    <s v="ch_3OwDTTKc9ZnUJQuy0CMRZepN"/>
    <d v="2024-03-20T01:00:16"/>
    <b v="0"/>
    <n v="4"/>
    <x v="2"/>
    <n v="0.42"/>
    <n v="0.105"/>
    <b v="0"/>
    <m/>
    <m/>
    <s v="US"/>
    <n v="74030"/>
    <m/>
    <s v="unavailable"/>
    <s v="Visa"/>
    <s v="pass"/>
    <n v="8"/>
    <n v="2032"/>
    <s v="BGR1NdsG7XotjDMy"/>
    <s v="prepaid"/>
    <s v="US"/>
    <n v="4415"/>
    <m/>
  </r>
  <r>
    <s v="ch_3OwDQoKc9ZnUJQuy1e951vKr"/>
    <d v="2024-03-20T00:55:56"/>
    <b v="0"/>
    <n v="4"/>
    <x v="0"/>
    <n v="0.42"/>
    <n v="0.105"/>
    <b v="1"/>
    <m/>
    <m/>
    <s v="US"/>
    <n v="70817"/>
    <m/>
    <s v="pass"/>
    <s v="Visa"/>
    <s v="pass"/>
    <n v="4"/>
    <n v="2025"/>
    <s v="V5eZlCM3OcKq1BsF"/>
    <s v="credit"/>
    <s v="US"/>
    <n v="8653"/>
    <s v="link"/>
  </r>
  <r>
    <s v="ch_3OwCXkKc9ZnUJQuy1xZeOqs1"/>
    <d v="2024-03-19T23:58:22"/>
    <b v="0"/>
    <n v="5"/>
    <x v="1"/>
    <n v="0.45"/>
    <n v="0.09"/>
    <b v="0"/>
    <s v="Creve Coeur"/>
    <s v="MO"/>
    <s v="US"/>
    <n v="63141"/>
    <s v="pass"/>
    <s v="pass"/>
    <s v="Visa"/>
    <m/>
    <n v="2"/>
    <n v="2031"/>
    <s v="qBZd8mw12dtRG9q3"/>
    <s v="debit"/>
    <s v="US"/>
    <n v="7188"/>
    <s v="apple_pay"/>
  </r>
  <r>
    <s v="ch_3OwCJEKc9ZnUJQuy0EDfAkkp"/>
    <d v="2024-03-19T23:43:22"/>
    <b v="0"/>
    <n v="5"/>
    <x v="1"/>
    <n v="0.45"/>
    <n v="0.09"/>
    <b v="0"/>
    <s v="Anderson"/>
    <s v="SC"/>
    <s v="US"/>
    <n v="29626"/>
    <s v="pass"/>
    <s v="pass"/>
    <s v="Visa"/>
    <m/>
    <n v="5"/>
    <n v="2030"/>
    <s v="AUFFWmmcYGMs867E"/>
    <s v="credit"/>
    <s v="US"/>
    <n v="967"/>
    <s v="apple_pay"/>
  </r>
  <r>
    <s v="ch_3OwBkUKc9ZnUJQuy1BdlGNLI"/>
    <d v="2024-03-19T23:08:23"/>
    <b v="0"/>
    <n v="5"/>
    <x v="1"/>
    <n v="0.45"/>
    <n v="0.09"/>
    <b v="0"/>
    <m/>
    <m/>
    <s v="US"/>
    <n v="77590"/>
    <m/>
    <s v="pass"/>
    <s v="Visa"/>
    <s v="pass"/>
    <n v="2"/>
    <n v="2026"/>
    <s v="eGMPuzaSt7rkA7J1"/>
    <s v="credit"/>
    <s v="US"/>
    <n v="2175"/>
    <m/>
  </r>
  <r>
    <s v="ch_3OwBXKKc9ZnUJQuy1bvJnp29"/>
    <d v="2024-03-19T22:53:52"/>
    <b v="0"/>
    <n v="5"/>
    <x v="1"/>
    <n v="0.45"/>
    <n v="0.09"/>
    <b v="0"/>
    <s v="Madison Lake"/>
    <s v="MN"/>
    <s v="US"/>
    <s v="56063-1500"/>
    <s v="pass"/>
    <s v="pass"/>
    <s v="MasterCard"/>
    <m/>
    <n v="3"/>
    <n v="2027"/>
    <s v="ET5pWK27Eak7tY3R"/>
    <s v="credit"/>
    <s v="US"/>
    <n v="1538"/>
    <s v="apple_pay"/>
  </r>
  <r>
    <s v="ch_3OwBOIKc9ZnUJQuy133gM8uM"/>
    <d v="2024-03-19T22:46:21"/>
    <b v="0"/>
    <n v="5"/>
    <x v="1"/>
    <n v="0.45"/>
    <n v="0.09"/>
    <b v="1"/>
    <m/>
    <m/>
    <s v="US"/>
    <n v="57108"/>
    <m/>
    <s v="pass"/>
    <s v="Visa"/>
    <s v="pass"/>
    <n v="7"/>
    <n v="2027"/>
    <s v="twksEOlnRKtu6PC3"/>
    <s v="credit"/>
    <s v="US"/>
    <n v="4017"/>
    <s v="link"/>
  </r>
  <r>
    <s v="ch_3OwB1ZKc9ZnUJQuy0ZeYPyIH"/>
    <d v="2024-03-19T22:21:51"/>
    <b v="0"/>
    <n v="5"/>
    <x v="1"/>
    <n v="0.45"/>
    <n v="0.09"/>
    <b v="0"/>
    <m/>
    <m/>
    <s v="US"/>
    <n v="48910"/>
    <m/>
    <s v="pass"/>
    <s v="MasterCard"/>
    <s v="pass"/>
    <n v="12"/>
    <n v="2025"/>
    <s v="CgLqqKQHaDjX643G"/>
    <s v="credit"/>
    <s v="US"/>
    <n v="4819"/>
    <m/>
  </r>
  <r>
    <s v="ch_3OwAxpKc9ZnUJQuy0gofq0NL"/>
    <d v="2024-03-19T22:17:18"/>
    <b v="0"/>
    <n v="5"/>
    <x v="1"/>
    <n v="0.45"/>
    <n v="0.09"/>
    <b v="1"/>
    <m/>
    <m/>
    <s v="US"/>
    <n v="91343"/>
    <m/>
    <s v="pass"/>
    <s v="MasterCard"/>
    <s v="pass"/>
    <n v="7"/>
    <n v="2027"/>
    <s v="25C3GW2xkP8Adso6"/>
    <s v="credit"/>
    <s v="US"/>
    <n v="2673"/>
    <s v="link"/>
  </r>
  <r>
    <s v="ch_3OwAKPKc9ZnUJQuy05bgpBtY"/>
    <d v="2024-03-19T21:36:40"/>
    <b v="0"/>
    <n v="5"/>
    <x v="1"/>
    <n v="0.45"/>
    <n v="0.09"/>
    <b v="0"/>
    <m/>
    <m/>
    <s v="US"/>
    <n v="53217"/>
    <m/>
    <s v="pass"/>
    <s v="MasterCard"/>
    <s v="pass"/>
    <n v="4"/>
    <n v="2025"/>
    <s v="7VijAEMVUhKm7Tco"/>
    <s v="credit"/>
    <s v="US"/>
    <n v="8047"/>
    <m/>
  </r>
  <r>
    <s v="ch_3OwA8tKc9ZnUJQuy0ZvvKHRp"/>
    <d v="2024-03-19T21:25:22"/>
    <b v="0"/>
    <n v="5"/>
    <x v="1"/>
    <n v="0.45"/>
    <n v="0.09"/>
    <b v="0"/>
    <m/>
    <m/>
    <s v="US"/>
    <n v="44012"/>
    <m/>
    <s v="pass"/>
    <s v="Visa"/>
    <s v="pass"/>
    <n v="8"/>
    <n v="2024"/>
    <s v="IoItc69bGLDGVmQ9"/>
    <s v="credit"/>
    <s v="US"/>
    <n v="9447"/>
    <m/>
  </r>
  <r>
    <s v="ch_3OwA4VKc9ZnUJQuy1XN77Ted"/>
    <d v="2024-03-19T21:21:47"/>
    <b v="0"/>
    <n v="4"/>
    <x v="0"/>
    <n v="0.42"/>
    <n v="0.105"/>
    <b v="0"/>
    <m/>
    <m/>
    <s v="US"/>
    <n v="60137"/>
    <m/>
    <s v="pass"/>
    <s v="MasterCard"/>
    <s v="pass"/>
    <n v="2"/>
    <n v="2028"/>
    <s v="LT7wSyBWyzWHGO02"/>
    <s v="credit"/>
    <s v="US"/>
    <n v="2519"/>
    <m/>
  </r>
  <r>
    <s v="ch_3Ow9kOKc9ZnUJQuy0J08mY8s"/>
    <d v="2024-03-19T21:00:54"/>
    <b v="0"/>
    <n v="4"/>
    <x v="2"/>
    <n v="0.42"/>
    <n v="0.105"/>
    <b v="0"/>
    <m/>
    <m/>
    <s v="US"/>
    <n v="55427"/>
    <m/>
    <s v="pass"/>
    <s v="Visa"/>
    <s v="pass"/>
    <n v="8"/>
    <n v="2027"/>
    <s v="3RWfDp6DRkmROpw1"/>
    <s v="debit"/>
    <s v="US"/>
    <n v="8907"/>
    <m/>
  </r>
  <r>
    <s v="ch_3Ow9hxKc9ZnUJQuy1pRNZ0Pr"/>
    <d v="2024-03-19T20:58:07"/>
    <b v="0"/>
    <n v="4"/>
    <x v="0"/>
    <n v="0.42"/>
    <n v="0.105"/>
    <b v="1"/>
    <m/>
    <m/>
    <s v="US"/>
    <n v="48917"/>
    <m/>
    <s v="pass"/>
    <s v="Visa"/>
    <s v="pass"/>
    <n v="6"/>
    <n v="2028"/>
    <s v="jjjqJFDEiDuGnk6W"/>
    <s v="credit"/>
    <s v="US"/>
    <n v="7277"/>
    <s v="link"/>
  </r>
  <r>
    <s v="ch_3Ow9fdKc9ZnUJQuy0yRh4W2Q"/>
    <d v="2024-03-19T20:54:45"/>
    <b v="0"/>
    <n v="5"/>
    <x v="1"/>
    <n v="0.45"/>
    <n v="0.09"/>
    <b v="1"/>
    <m/>
    <m/>
    <s v="US"/>
    <n v="44408"/>
    <m/>
    <s v="pass"/>
    <s v="Visa"/>
    <s v="pass"/>
    <n v="2"/>
    <n v="2028"/>
    <s v="8E9u45qn7Rrj3EEp"/>
    <s v="credit"/>
    <s v="US"/>
    <n v="6856"/>
    <s v="link"/>
  </r>
  <r>
    <s v="ch_3Ow9cCKc9ZnUJQuy08GGOVmc"/>
    <d v="2024-03-19T20:51:25"/>
    <b v="0"/>
    <n v="5"/>
    <x v="1"/>
    <n v="0.45"/>
    <n v="0.09"/>
    <b v="1"/>
    <m/>
    <m/>
    <s v="US"/>
    <s v="97068-2603"/>
    <m/>
    <s v="pass"/>
    <s v="Visa"/>
    <s v="pass"/>
    <n v="7"/>
    <n v="2025"/>
    <s v="LNYUB3CurgghV90h"/>
    <s v="debit"/>
    <s v="US"/>
    <n v="3985"/>
    <s v="link"/>
  </r>
  <r>
    <s v="ch_3Ow9WQKc9ZnUJQuy0cI7RHaK"/>
    <d v="2024-03-19T20:45:30"/>
    <b v="0"/>
    <n v="4"/>
    <x v="0"/>
    <n v="0.42"/>
    <n v="0.105"/>
    <b v="0"/>
    <s v="Raleigh"/>
    <s v="NC"/>
    <s v="US"/>
    <n v="27613"/>
    <s v="pass"/>
    <s v="pass"/>
    <s v="American Express"/>
    <m/>
    <n v="11"/>
    <n v="2024"/>
    <s v="SymmYbA21RnXwtHA"/>
    <s v="credit"/>
    <s v="US"/>
    <n v="4000"/>
    <s v="google_pay"/>
  </r>
  <r>
    <s v="ch_3Ow9SDKc9ZnUJQuy0PZ6DOlt"/>
    <d v="2024-03-19T20:41:09"/>
    <b v="0"/>
    <n v="5"/>
    <x v="1"/>
    <n v="0.45"/>
    <n v="0.09"/>
    <b v="0"/>
    <s v="Somers Point"/>
    <s v="NJ"/>
    <s v="US"/>
    <s v="08244-1324"/>
    <s v="pass"/>
    <s v="pass"/>
    <s v="MasterCard"/>
    <m/>
    <n v="11"/>
    <n v="2026"/>
    <s v="ekarRmjYlq7aa3aC"/>
    <s v="credit"/>
    <s v="US"/>
    <n v="4441"/>
    <s v="apple_pay"/>
  </r>
  <r>
    <s v="ch_3Ow8XlKc9ZnUJQuy1I6Vr2Gf"/>
    <d v="2024-03-19T19:43:29"/>
    <b v="0"/>
    <n v="4"/>
    <x v="2"/>
    <n v="0.42"/>
    <n v="0.105"/>
    <b v="0"/>
    <m/>
    <m/>
    <s v="US"/>
    <n v="65611"/>
    <m/>
    <s v="pass"/>
    <s v="Visa"/>
    <s v="pass"/>
    <n v="8"/>
    <n v="2026"/>
    <s v="0OwF5ftTYsr8qwDS"/>
    <s v="debit"/>
    <s v="US"/>
    <n v="2007"/>
    <m/>
  </r>
  <r>
    <s v="ch_3Ow8X0Kc9ZnUJQuy1NgqvvAt"/>
    <d v="2024-03-19T19:43:16"/>
    <b v="0"/>
    <n v="5"/>
    <x v="1"/>
    <n v="0.45"/>
    <n v="0.09"/>
    <b v="0"/>
    <m/>
    <m/>
    <s v="US"/>
    <n v="48884"/>
    <m/>
    <s v="pass"/>
    <s v="MasterCard"/>
    <s v="pass"/>
    <n v="12"/>
    <n v="2026"/>
    <s v="7rJsBkAJWRTSBr8O"/>
    <s v="debit"/>
    <s v="US"/>
    <n v="5910"/>
    <m/>
  </r>
  <r>
    <s v="ch_3Ow8YWKc9ZnUJQuy1GpMaEKv"/>
    <d v="2024-03-19T19:42:53"/>
    <b v="0"/>
    <n v="5"/>
    <x v="1"/>
    <n v="0.45"/>
    <n v="0.09"/>
    <b v="0"/>
    <s v="Detroit"/>
    <s v="MI"/>
    <s v="US"/>
    <n v="48214"/>
    <s v="pass"/>
    <s v="pass"/>
    <s v="Visa"/>
    <m/>
    <n v="4"/>
    <n v="2028"/>
    <s v="ZMoHE2DVWqkMS8Rv"/>
    <s v="credit"/>
    <s v="US"/>
    <n v="6299"/>
    <s v="google_pay"/>
  </r>
  <r>
    <s v="ch_3Ow8EgKc9ZnUJQuy0UJ5LrlQ"/>
    <d v="2024-03-19T19:22:21"/>
    <b v="0"/>
    <n v="5"/>
    <x v="1"/>
    <n v="0.45"/>
    <n v="0.09"/>
    <b v="1"/>
    <s v="Thousand Oaks"/>
    <s v="CA"/>
    <s v="US"/>
    <n v="91320"/>
    <s v="pass"/>
    <s v="pass"/>
    <s v="Visa"/>
    <s v="pass"/>
    <n v="10"/>
    <n v="2028"/>
    <s v="RvpA9GktXhi2OlV6"/>
    <s v="debit"/>
    <s v="US"/>
    <n v="240"/>
    <s v="link"/>
  </r>
  <r>
    <s v="ch_3Ow86zKc9ZnUJQuy0Ob9cOQR"/>
    <d v="2024-03-19T19:14:55"/>
    <b v="0"/>
    <n v="5"/>
    <x v="1"/>
    <n v="0.45"/>
    <n v="0.09"/>
    <b v="0"/>
    <m/>
    <m/>
    <s v="US"/>
    <n v="33076"/>
    <m/>
    <s v="pass"/>
    <s v="American Express"/>
    <s v="pass"/>
    <n v="1"/>
    <n v="2028"/>
    <s v="q138LWS18lHLGzCp"/>
    <s v="credit"/>
    <s v="US"/>
    <n v="7000"/>
    <m/>
  </r>
  <r>
    <s v="ch_3Ow83vKc9ZnUJQuy0eWc0vEL"/>
    <d v="2024-03-19T19:11:33"/>
    <b v="0"/>
    <n v="5"/>
    <x v="1"/>
    <n v="0.45"/>
    <n v="0.09"/>
    <b v="0"/>
    <m/>
    <m/>
    <s v="US"/>
    <n v="71457"/>
    <m/>
    <s v="pass"/>
    <s v="American Express"/>
    <s v="pass"/>
    <n v="4"/>
    <n v="2027"/>
    <s v="Dqz97kZl4yiCpVQ2"/>
    <s v="credit"/>
    <s v="US"/>
    <n v="4007"/>
    <m/>
  </r>
  <r>
    <s v="ch_3Ow7zrKc9ZnUJQuy1fyQ4R7S"/>
    <d v="2024-03-19T19:07:10"/>
    <b v="0"/>
    <n v="5"/>
    <x v="1"/>
    <n v="0.45"/>
    <n v="0.09"/>
    <b v="0"/>
    <s v="Atlanta"/>
    <s v="GA"/>
    <s v="US"/>
    <n v="30324"/>
    <s v="pass"/>
    <s v="pass"/>
    <s v="American Express"/>
    <m/>
    <n v="11"/>
    <n v="2024"/>
    <s v="o6uz1h7SZPIixln2"/>
    <s v="credit"/>
    <s v="US"/>
    <n v="4002"/>
    <s v="apple_pay"/>
  </r>
  <r>
    <s v="ch_3Ow7vsKc9ZnUJQuy1AP3nShF"/>
    <d v="2024-03-19T19:05:58"/>
    <b v="0"/>
    <n v="4"/>
    <x v="2"/>
    <n v="0.42"/>
    <n v="0.105"/>
    <b v="0"/>
    <m/>
    <m/>
    <s v="US"/>
    <n v="30350"/>
    <m/>
    <s v="pass"/>
    <s v="Visa"/>
    <s v="pass"/>
    <n v="1"/>
    <n v="2029"/>
    <s v="2tqAdJApuxN4sSHM"/>
    <s v="credit"/>
    <s v="US"/>
    <n v="3114"/>
    <m/>
  </r>
  <r>
    <s v="ch_3Ow7dfKc9ZnUJQuy1NP3CEE5"/>
    <d v="2024-03-19T18:58:43"/>
    <b v="0"/>
    <n v="5"/>
    <x v="1"/>
    <n v="0.45"/>
    <n v="0.09"/>
    <b v="0"/>
    <m/>
    <m/>
    <s v="US"/>
    <n v="80137"/>
    <m/>
    <s v="pass"/>
    <s v="MasterCard"/>
    <s v="pass"/>
    <n v="3"/>
    <n v="2026"/>
    <s v="GPxrXa4ryAdMlvbR"/>
    <s v="debit"/>
    <s v="US"/>
    <n v="1514"/>
    <m/>
  </r>
  <r>
    <s v="ch_3Ow7pUKc9ZnUJQuy075SYjp0"/>
    <d v="2024-03-19T18:56:53"/>
    <b v="0"/>
    <n v="4"/>
    <x v="2"/>
    <n v="0.42"/>
    <n v="0.105"/>
    <b v="1"/>
    <m/>
    <m/>
    <s v="US"/>
    <n v="19020"/>
    <m/>
    <s v="pass"/>
    <s v="Visa"/>
    <s v="pass"/>
    <n v="3"/>
    <n v="2026"/>
    <s v="fwRCb3vhZcDRHlD7"/>
    <s v="debit"/>
    <s v="US"/>
    <n v="3647"/>
    <s v="link"/>
  </r>
  <r>
    <s v="ch_3Ow7bKKc9ZnUJQuy0Jt85U4j"/>
    <d v="2024-03-19T18:42:25"/>
    <b v="0"/>
    <n v="5"/>
    <x v="1"/>
    <n v="0.45"/>
    <n v="0.09"/>
    <b v="1"/>
    <m/>
    <m/>
    <s v="US"/>
    <n v="21122"/>
    <m/>
    <s v="pass"/>
    <s v="Visa"/>
    <s v="pass"/>
    <n v="12"/>
    <n v="2027"/>
    <s v="vELpgRJwFYF85CcB"/>
    <s v="credit"/>
    <s v="US"/>
    <n v="5279"/>
    <s v="link"/>
  </r>
  <r>
    <s v="ch_3Ow7OqKc9ZnUJQuy08oMQihK"/>
    <d v="2024-03-19T18:29:08"/>
    <b v="0"/>
    <n v="5"/>
    <x v="1"/>
    <n v="0.45"/>
    <n v="0.09"/>
    <b v="0"/>
    <s v="Cedar Park"/>
    <s v="TX"/>
    <s v="US"/>
    <n v="78613"/>
    <s v="pass"/>
    <s v="pass"/>
    <s v="American Express"/>
    <m/>
    <n v="11"/>
    <n v="2024"/>
    <s v="Ragug2RfHbyKOllY"/>
    <s v="credit"/>
    <s v="US"/>
    <n v="1004"/>
    <s v="apple_pay"/>
  </r>
  <r>
    <s v="ch_3Ow7G1Kc9ZnUJQuy1220NYSz"/>
    <d v="2024-03-19T18:25:04"/>
    <b v="0"/>
    <n v="5"/>
    <x v="1"/>
    <n v="0.45"/>
    <n v="0.09"/>
    <b v="0"/>
    <m/>
    <m/>
    <s v="US"/>
    <n v="55386"/>
    <m/>
    <s v="pass"/>
    <s v="Visa"/>
    <s v="pass"/>
    <n v="5"/>
    <n v="2027"/>
    <s v="g6uzpP4kUzqigPaV"/>
    <s v="credit"/>
    <s v="US"/>
    <n v="2149"/>
    <m/>
  </r>
  <r>
    <s v="ch_3Ow7F3Kc9ZnUJQuy1B3ecuw0"/>
    <d v="2024-03-19T18:19:54"/>
    <b v="0"/>
    <n v="4"/>
    <x v="2"/>
    <n v="0.42"/>
    <n v="0.105"/>
    <b v="0"/>
    <s v="Chalandri"/>
    <m/>
    <s v="GR"/>
    <n v="15234"/>
    <s v="unavailable"/>
    <s v="unavailable"/>
    <s v="MasterCard"/>
    <m/>
    <n v="2"/>
    <n v="2025"/>
    <s v="zPen5phNkpRl4M68"/>
    <s v="debit"/>
    <s v="GR"/>
    <n v="100"/>
    <s v="apple_pay"/>
  </r>
  <r>
    <s v="ch_3Ow7FNKc9ZnUJQuy1r3cdboU"/>
    <d v="2024-03-19T18:19:09"/>
    <b v="0"/>
    <n v="5"/>
    <x v="1"/>
    <n v="0.45"/>
    <n v="0.09"/>
    <b v="1"/>
    <m/>
    <m/>
    <s v="US"/>
    <n v="64804"/>
    <m/>
    <s v="pass"/>
    <s v="MasterCard"/>
    <s v="pass"/>
    <n v="1"/>
    <n v="2025"/>
    <s v="akKLoPLTK6OZFOzL"/>
    <s v="debit"/>
    <s v="US"/>
    <n v="4686"/>
    <s v="link"/>
  </r>
  <r>
    <s v="ch_3Ow741Kc9ZnUJQuy0lW0JsNm"/>
    <d v="2024-03-19T18:12:15"/>
    <b v="0"/>
    <n v="5"/>
    <x v="1"/>
    <n v="0.45"/>
    <n v="0.09"/>
    <b v="1"/>
    <m/>
    <m/>
    <s v="US"/>
    <n v="49418"/>
    <m/>
    <s v="pass"/>
    <s v="Visa"/>
    <s v="pass"/>
    <n v="11"/>
    <n v="2026"/>
    <s v="2U48w3GySd0HpcVi"/>
    <s v="debit"/>
    <s v="US"/>
    <n v="8063"/>
    <s v="link"/>
  </r>
  <r>
    <s v="ch_3Ow6yMKc9ZnUJQuy1nIgODqr"/>
    <d v="2024-03-19T18:02:09"/>
    <b v="0"/>
    <n v="5"/>
    <x v="1"/>
    <n v="0.45"/>
    <n v="0.09"/>
    <b v="1"/>
    <m/>
    <m/>
    <s v="US"/>
    <n v="80234"/>
    <m/>
    <s v="pass"/>
    <s v="MasterCard"/>
    <s v="pass"/>
    <n v="3"/>
    <n v="2026"/>
    <s v="UOu8Fg1pR40aDWvG"/>
    <s v="debit"/>
    <s v="US"/>
    <n v="9439"/>
    <s v="link"/>
  </r>
  <r>
    <s v="ch_3Ow6gYKc9ZnUJQuy0Gd8LXIg"/>
    <d v="2024-03-19T17:43:08"/>
    <b v="0"/>
    <n v="5"/>
    <x v="1"/>
    <n v="0.45"/>
    <n v="0.09"/>
    <b v="1"/>
    <m/>
    <m/>
    <s v="US"/>
    <n v="55441"/>
    <m/>
    <s v="pass"/>
    <s v="American Express"/>
    <s v="pass"/>
    <n v="8"/>
    <n v="2025"/>
    <s v="DyZRGuqYdiLOMrma"/>
    <s v="credit"/>
    <s v="US"/>
    <n v="1004"/>
    <s v="link"/>
  </r>
  <r>
    <s v="ch_3Ow6fGKc9ZnUJQuy1ptHMszB"/>
    <d v="2024-03-19T17:42:33"/>
    <b v="0"/>
    <n v="5"/>
    <x v="1"/>
    <n v="0.45"/>
    <n v="0.09"/>
    <b v="1"/>
    <m/>
    <m/>
    <s v="US"/>
    <n v="30066"/>
    <m/>
    <s v="pass"/>
    <s v="MasterCard"/>
    <s v="pass"/>
    <n v="6"/>
    <n v="2028"/>
    <s v="XacM41Xbz43j4I9K"/>
    <s v="credit"/>
    <s v="US"/>
    <n v="5639"/>
    <s v="link"/>
  </r>
  <r>
    <s v="ch_3Ow6anKc9ZnUJQuy1ZDO8pNb"/>
    <d v="2024-03-19T17:40:09"/>
    <b v="0"/>
    <n v="5"/>
    <x v="1"/>
    <n v="0.45"/>
    <n v="0.09"/>
    <b v="1"/>
    <m/>
    <m/>
    <s v="US"/>
    <n v="21222"/>
    <m/>
    <s v="pass"/>
    <s v="Visa"/>
    <s v="pass"/>
    <n v="4"/>
    <n v="2025"/>
    <s v="5BhKpromU4bn6pq7"/>
    <s v="prepaid"/>
    <s v="US"/>
    <n v="7530"/>
    <s v="link"/>
  </r>
  <r>
    <s v="ch_3Ow6QSKc9ZnUJQuy0bwrJikZ"/>
    <d v="2024-03-19T17:27:11"/>
    <b v="0"/>
    <n v="5"/>
    <x v="1"/>
    <n v="0.45"/>
    <n v="0.09"/>
    <b v="1"/>
    <m/>
    <m/>
    <s v="CA"/>
    <s v="K1W 1K7"/>
    <m/>
    <s v="pass"/>
    <s v="Visa"/>
    <s v="pass"/>
    <n v="1"/>
    <n v="2025"/>
    <s v="TpbyGMMyNkKwtayU"/>
    <s v="credit"/>
    <s v="CA"/>
    <n v="1014"/>
    <s v="link"/>
  </r>
  <r>
    <s v="ch_3Ow5WFKc9ZnUJQuy1pWew3dM"/>
    <d v="2024-03-19T16:30:17"/>
    <b v="0"/>
    <n v="5"/>
    <x v="1"/>
    <n v="0.45"/>
    <n v="0.09"/>
    <b v="1"/>
    <m/>
    <m/>
    <s v="US"/>
    <n v="18642"/>
    <m/>
    <s v="pass"/>
    <s v="Visa"/>
    <s v="pass"/>
    <n v="7"/>
    <n v="2025"/>
    <s v="TXV5UkelfucA2IAA"/>
    <s v="debit"/>
    <s v="US"/>
    <n v="2200"/>
    <s v="link"/>
  </r>
  <r>
    <s v="ch_3Ow3HdKc9ZnUJQuy0jzz7eGs"/>
    <d v="2024-03-19T14:05:08"/>
    <b v="0"/>
    <n v="5"/>
    <x v="1"/>
    <n v="0.45"/>
    <n v="0.09"/>
    <b v="0"/>
    <m/>
    <m/>
    <s v="US"/>
    <n v="29072"/>
    <m/>
    <s v="pass"/>
    <s v="Visa"/>
    <s v="pass"/>
    <n v="2"/>
    <n v="2027"/>
    <s v="yRwDJpD0KNP0Vlgz"/>
    <s v="debit"/>
    <s v="US"/>
    <n v="2434"/>
    <m/>
  </r>
  <r>
    <s v="ch_3Ow2EtKc9ZnUJQuy1pl0y6IE"/>
    <d v="2024-03-19T12:59:19"/>
    <b v="0"/>
    <n v="5"/>
    <x v="1"/>
    <n v="0.45"/>
    <n v="0.09"/>
    <b v="1"/>
    <m/>
    <m/>
    <s v="US"/>
    <n v="50423"/>
    <m/>
    <s v="pass"/>
    <s v="MasterCard"/>
    <s v="pass"/>
    <n v="4"/>
    <n v="2028"/>
    <s v="FlmdG1gMcHh5hKSU"/>
    <s v="credit"/>
    <s v="US"/>
    <n v="1825"/>
    <s v="link"/>
  </r>
  <r>
    <s v="ch_3OvzoIKc9ZnUJQuy1M4fm8yq"/>
    <d v="2024-03-19T10:23:00"/>
    <b v="0"/>
    <n v="5"/>
    <x v="1"/>
    <n v="0.45"/>
    <n v="0.09"/>
    <b v="0"/>
    <m/>
    <m/>
    <s v="US"/>
    <n v="30519"/>
    <m/>
    <s v="pass"/>
    <s v="Visa"/>
    <s v="pass"/>
    <n v="10"/>
    <n v="2028"/>
    <s v="t8Elki3DZXVBi738"/>
    <s v="debit"/>
    <s v="US"/>
    <n v="8463"/>
    <m/>
  </r>
  <r>
    <s v="ch_3OvrlrKc9ZnUJQuy0X5gLZbb"/>
    <d v="2024-03-19T01:53:12"/>
    <b v="0"/>
    <n v="5"/>
    <x v="1"/>
    <n v="0.45"/>
    <n v="0.09"/>
    <b v="1"/>
    <m/>
    <m/>
    <s v="US"/>
    <n v="98052"/>
    <m/>
    <s v="pass"/>
    <s v="MasterCard"/>
    <s v="pass"/>
    <n v="7"/>
    <n v="2028"/>
    <s v="BdbdHgY07iezou27"/>
    <s v="debit"/>
    <s v="US"/>
    <n v="4915"/>
    <s v="link"/>
  </r>
  <r>
    <s v="ch_3OvpquKc9ZnUJQuy0KbTVgOW"/>
    <d v="2024-03-18T23:44:34"/>
    <b v="0"/>
    <n v="5"/>
    <x v="1"/>
    <n v="0.45"/>
    <n v="0.09"/>
    <b v="0"/>
    <s v="Arvada"/>
    <s v="CO"/>
    <s v="US"/>
    <n v="80002"/>
    <s v="pass"/>
    <s v="pass"/>
    <s v="Visa"/>
    <m/>
    <n v="6"/>
    <n v="2031"/>
    <s v="hS8TTHwSzBezVsfy"/>
    <s v="credit"/>
    <s v="US"/>
    <n v="1450"/>
    <s v="apple_pay"/>
  </r>
  <r>
    <s v="ch_3OvitsKc9ZnUJQuy1NrD0rZQ"/>
    <d v="2024-03-18T16:19:16"/>
    <b v="0"/>
    <n v="5"/>
    <x v="1"/>
    <n v="0.45"/>
    <n v="0.09"/>
    <b v="1"/>
    <m/>
    <m/>
    <s v="US"/>
    <n v="48823"/>
    <m/>
    <s v="pass"/>
    <s v="American Express"/>
    <s v="pass"/>
    <n v="11"/>
    <n v="2024"/>
    <s v="J2iMt7tUBvmdW4Sg"/>
    <s v="credit"/>
    <s v="US"/>
    <n v="8003"/>
    <s v="link"/>
  </r>
  <r>
    <s v="ch_3OviR5Kc9ZnUJQuy08l0e5HV"/>
    <d v="2024-03-18T15:49:48"/>
    <b v="0"/>
    <n v="4"/>
    <x v="2"/>
    <n v="0.42"/>
    <n v="0.105"/>
    <b v="0"/>
    <m/>
    <m/>
    <s v="US"/>
    <n v="19382"/>
    <m/>
    <s v="pass"/>
    <s v="American Express"/>
    <s v="pass"/>
    <n v="11"/>
    <n v="2028"/>
    <s v="zRjRNaInQb2KAKbM"/>
    <s v="credit"/>
    <s v="US"/>
    <n v="7003"/>
    <m/>
  </r>
  <r>
    <s v="ch_3OviDnKc9ZnUJQuy1U69PqWH"/>
    <d v="2024-03-18T15:35:47"/>
    <b v="0"/>
    <n v="5"/>
    <x v="1"/>
    <n v="0.45"/>
    <n v="0.09"/>
    <b v="0"/>
    <s v="Salinas"/>
    <s v="CA"/>
    <s v="US"/>
    <n v="93901"/>
    <s v="fail"/>
    <s v="fail"/>
    <s v="Visa"/>
    <m/>
    <n v="3"/>
    <n v="2026"/>
    <s v="SKoglfpBjnlDTrfo"/>
    <s v="debit"/>
    <s v="US"/>
    <n v="9914"/>
    <s v="google_pay"/>
  </r>
  <r>
    <s v="ch_3OvhLwKc9ZnUJQuy1mGraQxZ"/>
    <d v="2024-03-18T14:41:14"/>
    <b v="0"/>
    <n v="5"/>
    <x v="1"/>
    <n v="0.45"/>
    <n v="0.09"/>
    <b v="0"/>
    <m/>
    <m/>
    <s v="US"/>
    <n v="48225"/>
    <m/>
    <s v="pass"/>
    <s v="Visa"/>
    <s v="pass"/>
    <n v="8"/>
    <n v="2028"/>
    <s v="6ggUngVeHxU6dXXx"/>
    <s v="credit"/>
    <s v="US"/>
    <n v="9648"/>
    <m/>
  </r>
  <r>
    <s v="ch_3Ovgb5Kc9ZnUJQuy0lWLH7WM"/>
    <d v="2024-03-18T13:52:02"/>
    <b v="1"/>
    <n v="5"/>
    <x v="1"/>
    <n v="0.45"/>
    <n v="0.09"/>
    <b v="0"/>
    <s v="Naperville"/>
    <s v="IL"/>
    <s v="US"/>
    <n v="60540"/>
    <s v="pass"/>
    <s v="pass"/>
    <s v="MasterCard"/>
    <m/>
    <n v="6"/>
    <n v="2026"/>
    <s v="X1YTF4Y4cOOaxmCX"/>
    <s v="credit"/>
    <s v="US"/>
    <n v="3197"/>
    <s v="apple_pay"/>
  </r>
  <r>
    <s v="ch_3OvXiHKc9ZnUJQuy1hXcFsvh"/>
    <d v="2024-03-18T04:22:43"/>
    <b v="1"/>
    <n v="5"/>
    <x v="1"/>
    <n v="0.45"/>
    <n v="0.09"/>
    <b v="0"/>
    <s v="Rochester"/>
    <s v="MN"/>
    <s v="US"/>
    <n v="55902"/>
    <s v="pass"/>
    <s v="pass"/>
    <s v="American Express"/>
    <m/>
    <n v="11"/>
    <n v="2024"/>
    <s v="Y37MlOcdlaQdMpg9"/>
    <s v="credit"/>
    <s v="US"/>
    <n v="5004"/>
    <s v="apple_pay"/>
  </r>
  <r>
    <s v="ch_3OvWKbKc9ZnUJQuy0cjT3Ssj"/>
    <d v="2024-03-18T02:54:29"/>
    <b v="1"/>
    <n v="5"/>
    <x v="1"/>
    <n v="0.45"/>
    <n v="0.09"/>
    <b v="0"/>
    <m/>
    <m/>
    <s v="US"/>
    <n v="46234"/>
    <m/>
    <s v="pass"/>
    <s v="Visa"/>
    <s v="pass"/>
    <n v="11"/>
    <n v="2024"/>
    <s v="zuUTSnCReGbBrub7"/>
    <s v="credit"/>
    <s v="US"/>
    <n v="5737"/>
    <m/>
  </r>
  <r>
    <s v="ch_3OvVu0Kc9ZnUJQuy0JZug3Eh"/>
    <d v="2024-03-18T02:26:41"/>
    <b v="1"/>
    <n v="5"/>
    <x v="1"/>
    <n v="0.45"/>
    <n v="0.09"/>
    <b v="0"/>
    <m/>
    <m/>
    <s v="US"/>
    <n v="54022"/>
    <m/>
    <s v="pass"/>
    <s v="MasterCard"/>
    <s v="pass"/>
    <n v="9"/>
    <n v="2024"/>
    <s v="pxU9MkqBJwMUZXn5"/>
    <s v="credit"/>
    <s v="US"/>
    <n v="384"/>
    <m/>
  </r>
  <r>
    <s v="ch_3OvUlzKc9ZnUJQuy1dq9TibU"/>
    <d v="2024-03-18T01:15:39"/>
    <b v="1"/>
    <n v="5"/>
    <x v="1"/>
    <n v="0.45"/>
    <n v="0.09"/>
    <b v="1"/>
    <m/>
    <m/>
    <s v="US"/>
    <n v="34236"/>
    <m/>
    <s v="pass"/>
    <s v="MasterCard"/>
    <s v="pass"/>
    <n v="6"/>
    <n v="2028"/>
    <s v="BWfSp6NWqwpQ8SGQ"/>
    <s v="credit"/>
    <s v="US"/>
    <n v="6664"/>
    <s v="link"/>
  </r>
  <r>
    <s v="ch_3OvTc7Kc9ZnUJQuy1be8QUix"/>
    <d v="2024-03-17T23:59:51"/>
    <b v="1"/>
    <n v="5"/>
    <x v="1"/>
    <n v="0.45"/>
    <n v="0.09"/>
    <b v="1"/>
    <s v="Grand Rapids"/>
    <s v="MI"/>
    <s v="US"/>
    <n v="49525"/>
    <s v="pass"/>
    <s v="pass"/>
    <s v="MasterCard"/>
    <s v="pass"/>
    <n v="9"/>
    <n v="2024"/>
    <s v="Qj7YV96z1jUUGn1B"/>
    <s v="credit"/>
    <s v="US"/>
    <n v="1735"/>
    <s v="link"/>
  </r>
  <r>
    <s v="ch_3OvRRlKc9ZnUJQuy1TmMmHR7"/>
    <d v="2024-03-17T21:43:38"/>
    <b v="1"/>
    <n v="5"/>
    <x v="1"/>
    <n v="0.45"/>
    <n v="0.09"/>
    <b v="1"/>
    <m/>
    <m/>
    <s v="US"/>
    <n v="65109"/>
    <m/>
    <s v="pass"/>
    <s v="American Express"/>
    <s v="pass"/>
    <n v="2"/>
    <n v="2029"/>
    <s v="6DJTVNXGv43XZwJ1"/>
    <s v="credit"/>
    <s v="US"/>
    <n v="6006"/>
    <s v="link"/>
  </r>
  <r>
    <s v="ch_3Ov7TxKc9ZnUJQuy0yN7AbhY"/>
    <d v="2024-03-17T00:23:11"/>
    <b v="1"/>
    <n v="5"/>
    <x v="1"/>
    <n v="0.45"/>
    <n v="0.09"/>
    <b v="0"/>
    <m/>
    <m/>
    <s v="US"/>
    <n v="43081"/>
    <m/>
    <s v="pass"/>
    <s v="Visa"/>
    <s v="pass"/>
    <n v="7"/>
    <n v="2025"/>
    <s v="Xgkx4ZkKusOtJzep"/>
    <s v="credit"/>
    <s v="US"/>
    <n v="8983"/>
    <m/>
  </r>
  <r>
    <s v="ch_3OuPyaKc9ZnUJQuy1GZEHh9D"/>
    <d v="2024-03-15T01:54:47"/>
    <b v="1"/>
    <n v="5"/>
    <x v="1"/>
    <n v="0.45"/>
    <n v="0.09"/>
    <b v="0"/>
    <s v="Williamston"/>
    <s v="MI"/>
    <s v="US"/>
    <n v="48895"/>
    <s v="pass"/>
    <s v="pass"/>
    <s v="Visa"/>
    <m/>
    <n v="3"/>
    <n v="2027"/>
    <s v="UYWMAcKXKzXpTbuM"/>
    <s v="credit"/>
    <s v="US"/>
    <n v="3944"/>
    <s v="apple_pay"/>
  </r>
  <r>
    <s v="ch_3OuEgyKc9ZnUJQuy0lWBO9ej"/>
    <d v="2024-03-14T13:52:37"/>
    <b v="1"/>
    <n v="5"/>
    <x v="1"/>
    <n v="0.45"/>
    <n v="0.09"/>
    <b v="1"/>
    <m/>
    <m/>
    <s v="US"/>
    <n v="78250"/>
    <m/>
    <s v="pass"/>
    <s v="American Express"/>
    <s v="pass"/>
    <n v="1"/>
    <n v="2029"/>
    <s v="gwVRsObLqhIGNV1E"/>
    <s v="credit"/>
    <s v="US"/>
    <n v="2002"/>
    <s v="link"/>
  </r>
  <r>
    <s v="ch_3Ou2jpKc9ZnUJQuy1M4MbdKL"/>
    <d v="2024-03-14T01:06:37"/>
    <b v="1"/>
    <n v="5"/>
    <x v="1"/>
    <n v="0.45"/>
    <n v="0.09"/>
    <b v="1"/>
    <m/>
    <m/>
    <s v="US"/>
    <n v="10023"/>
    <m/>
    <s v="pass"/>
    <s v="American Express"/>
    <s v="pass"/>
    <n v="5"/>
    <n v="2027"/>
    <s v="b9MdYQ9WAW5R0YKA"/>
    <s v="credit"/>
    <s v="US"/>
    <n v="2006"/>
    <s v="link"/>
  </r>
  <r>
    <s v="ch_3Ou2VhKc9ZnUJQuy1SY199vz"/>
    <d v="2024-03-14T00:53:51"/>
    <b v="1"/>
    <n v="5"/>
    <x v="1"/>
    <n v="0.45"/>
    <n v="0.09"/>
    <b v="1"/>
    <m/>
    <m/>
    <s v="US"/>
    <n v="97015"/>
    <m/>
    <s v="pass"/>
    <s v="MasterCard"/>
    <s v="pass"/>
    <n v="11"/>
    <n v="2027"/>
    <s v="hLwwjANAvuBHfHWN"/>
    <s v="prepaid"/>
    <s v="US"/>
    <n v="7857"/>
    <s v="link"/>
  </r>
  <r>
    <s v="ch_3OtGHzKc9ZnUJQuy0u0JNL3y"/>
    <d v="2024-03-11T21:22:10"/>
    <b v="1"/>
    <n v="4"/>
    <x v="0"/>
    <n v="0.42"/>
    <n v="0.105"/>
    <b v="1"/>
    <s v="Brooklyn"/>
    <s v="NY"/>
    <s v="US"/>
    <n v="11216"/>
    <s v="pass"/>
    <s v="pass"/>
    <s v="Visa"/>
    <s v="pass"/>
    <n v="8"/>
    <n v="2028"/>
    <s v="RmyGvlIBWGiIlMj3"/>
    <s v="credit"/>
    <s v="US"/>
    <n v="9497"/>
    <s v="link"/>
  </r>
  <r>
    <s v="ch_3OqJsBKc9ZnUJQuy1ZfsKunb"/>
    <d v="2024-03-03T18:35:22"/>
    <b v="1"/>
    <n v="5"/>
    <x v="1"/>
    <n v="0.45"/>
    <n v="0.09"/>
    <b v="0"/>
    <m/>
    <m/>
    <s v="US"/>
    <n v="97202"/>
    <m/>
    <s v="pass"/>
    <s v="MasterCard"/>
    <s v="pass"/>
    <n v="11"/>
    <n v="2025"/>
    <s v="39MBn088TF63JyaI"/>
    <s v="credit"/>
    <s v="US"/>
    <n v="7620"/>
    <m/>
  </r>
  <r>
    <s v="ch_3OoEWwKc9ZnUJQuy1arMHDb8"/>
    <d v="2024-02-27T00:29:32"/>
    <b v="1"/>
    <n v="5"/>
    <x v="1"/>
    <n v="0.45"/>
    <n v="0.09"/>
    <b v="1"/>
    <m/>
    <m/>
    <s v="US"/>
    <n v="95628"/>
    <m/>
    <s v="pass"/>
    <s v="Visa"/>
    <s v="pass"/>
    <n v="8"/>
    <n v="2026"/>
    <s v="bcbIsnWuuQNclGAx"/>
    <s v="debit"/>
    <s v="US"/>
    <n v="1152"/>
    <s v="link"/>
  </r>
  <r>
    <m/>
    <m/>
    <m/>
    <m/>
    <x v="1"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h_3R4lHxKc9ZnUJQuy1snCqR3z"/>
    <d v="2025-03-20T15:45:51"/>
    <b v="0"/>
    <n v="5"/>
    <x v="0"/>
    <n v="0.45"/>
    <n v="0.09"/>
    <b v="1"/>
    <s v="Lake Lotawana"/>
    <s v="MO"/>
    <s v="US"/>
    <n v="64086"/>
    <s v="Visa"/>
    <s v="credit"/>
    <m/>
    <s v="Visa credit (Keyed)"/>
    <s v="r******g@gmail.com"/>
  </r>
  <r>
    <s v="ch_3R4lFuKc9ZnUJQuy12KNSEn1"/>
    <d v="2025-03-20T15:44:18"/>
    <b v="0"/>
    <n v="4.5"/>
    <x v="1"/>
    <n v="0.43"/>
    <n v="9.555555555555556E-2"/>
    <b v="0"/>
    <m/>
    <m/>
    <s v="US"/>
    <n v="48823"/>
    <s v="American Express"/>
    <s v="credit"/>
    <m/>
    <s v="American Express credit (Keyed)"/>
    <s v="n*****1@gmail.com"/>
  </r>
  <r>
    <s v="ch_3R4l4WKc9ZnUJQuy1SS76eAs"/>
    <d v="2025-03-20T15:32:27"/>
    <b v="0"/>
    <n v="5"/>
    <x v="0"/>
    <n v="0.45"/>
    <n v="0.09"/>
    <b v="0"/>
    <m/>
    <m/>
    <s v="US"/>
    <n v="49504"/>
    <s v="MasterCard"/>
    <s v="debit"/>
    <m/>
    <s v="MasterCard debit (Keyed)"/>
    <s v="m***********1@gmail.com"/>
  </r>
  <r>
    <s v="ch_3R4jDgKc9ZnUJQuy1TIuf2sy"/>
    <d v="2025-03-20T13:35:41"/>
    <b v="0"/>
    <n v="5"/>
    <x v="0"/>
    <n v="0.45"/>
    <n v="0.09"/>
    <b v="0"/>
    <m/>
    <m/>
    <s v="US"/>
    <n v="10312"/>
    <s v="MasterCard"/>
    <s v="credit"/>
    <m/>
    <s v="MasterCard credit (Keyed)"/>
    <s v="h*******0@verizon.net"/>
  </r>
  <r>
    <s v="ch_3R4hYgKc9ZnUJQuy0vHrmaHo"/>
    <d v="2025-03-20T11:56:33"/>
    <b v="0"/>
    <n v="5"/>
    <x v="0"/>
    <n v="0.45"/>
    <n v="0.09"/>
    <b v="0"/>
    <m/>
    <m/>
    <s v="US"/>
    <n v="53074"/>
    <s v="MasterCard"/>
    <s v="credit"/>
    <m/>
    <s v="MasterCard credit (Keyed)"/>
    <s v="f*********1@gmail.com"/>
  </r>
  <r>
    <s v="ch_3R4fXrKc9ZnUJQuy1tWC54EO"/>
    <d v="2025-03-20T09:38:45"/>
    <b v="0"/>
    <n v="5"/>
    <x v="0"/>
    <n v="0.45"/>
    <n v="0.09"/>
    <b v="0"/>
    <s v="Birmingham"/>
    <s v="AL"/>
    <s v="US"/>
    <n v="35235"/>
    <s v="Visa"/>
    <s v="credit"/>
    <s v="android_pay"/>
    <s v="Visa credit (Android Pay)"/>
    <s v="j*******1@gmail.com"/>
  </r>
  <r>
    <s v="ch_3R4VsTKc9ZnUJQuy1ajjlTwq"/>
    <d v="2025-03-19T23:20:13"/>
    <b v="0"/>
    <n v="5"/>
    <x v="0"/>
    <n v="0.45"/>
    <n v="0.09"/>
    <b v="1"/>
    <m/>
    <m/>
    <s v="US"/>
    <n v="10594"/>
    <s v="MasterCard"/>
    <s v="credit"/>
    <m/>
    <s v="MasterCard credit (Keyed)"/>
    <s v="j*******5@optonline.net"/>
  </r>
  <r>
    <s v="ch_3R4UsCKc9ZnUJQuy1OvvKPM9"/>
    <d v="2025-03-19T22:15:17"/>
    <b v="0"/>
    <n v="5"/>
    <x v="0"/>
    <n v="0.45"/>
    <n v="0.09"/>
    <b v="0"/>
    <s v="Machesney Park"/>
    <s v="IL"/>
    <s v="US"/>
    <s v="61115-2901"/>
    <s v="Visa"/>
    <s v="debit"/>
    <s v="apple_pay"/>
    <s v="Visa debit (Apple Pay)"/>
    <s v="a********3@hotmail.com"/>
  </r>
  <r>
    <s v="ch_3R4ULYKc9ZnUJQuy1dpZc4u8"/>
    <d v="2025-03-19T21:43:00"/>
    <b v="0"/>
    <n v="5"/>
    <x v="0"/>
    <n v="0.45"/>
    <n v="0.09"/>
    <b v="1"/>
    <m/>
    <m/>
    <s v="US"/>
    <n v="48823"/>
    <s v="American Express"/>
    <s v="credit"/>
    <m/>
    <s v="American Express credit (Keyed)"/>
    <s v="p*******n@andersoneconomicgroup.com"/>
  </r>
  <r>
    <s v="ch_3R4TgdKc9ZnUJQuy1VNoRdRV"/>
    <d v="2025-03-19T20:58:20"/>
    <b v="0"/>
    <n v="4"/>
    <x v="2"/>
    <n v="0.42"/>
    <n v="0.105"/>
    <b v="1"/>
    <s v="Rockport"/>
    <s v="MA"/>
    <s v="US"/>
    <s v="01966"/>
    <s v="American Express"/>
    <s v="credit"/>
    <m/>
    <s v="American Express credit (Keyed)"/>
    <s v="l*********s@gmail.com"/>
  </r>
  <r>
    <s v="ch_3R4SF0Kc9ZnUJQuy0wpbD1mR"/>
    <d v="2025-03-19T19:25:53"/>
    <b v="0"/>
    <n v="5"/>
    <x v="0"/>
    <n v="0.45"/>
    <n v="0.09"/>
    <b v="1"/>
    <m/>
    <m/>
    <s v="US"/>
    <n v="44408"/>
    <s v="Visa"/>
    <s v="credit"/>
    <m/>
    <s v="Visa credit (Keyed)"/>
    <s v="c**********d@att.net"/>
  </r>
  <r>
    <s v="ch_3R4N2SKc9ZnUJQuy1ZbewkoO"/>
    <d v="2025-03-19T13:52:33"/>
    <b v="0"/>
    <n v="5"/>
    <x v="0"/>
    <n v="0.45"/>
    <n v="0.09"/>
    <b v="1"/>
    <s v="Grosse Pointe Park"/>
    <s v="MI"/>
    <s v="US"/>
    <n v="48230"/>
    <s v="Visa"/>
    <s v="credit"/>
    <m/>
    <s v="Visa credit (Keyed)"/>
    <s v="r******s@umich.edu"/>
  </r>
  <r>
    <s v="ch_3R4EDCKc9ZnUJQuy1ZVzzJZ7"/>
    <d v="2025-03-19T04:27:57"/>
    <b v="0"/>
    <n v="4.5"/>
    <x v="1"/>
    <n v="0.43"/>
    <n v="9.555555555555556E-2"/>
    <b v="0"/>
    <s v="East Lansing "/>
    <s v="MI"/>
    <s v="US"/>
    <n v="48823"/>
    <s v="Visa"/>
    <s v="credit"/>
    <s v="apple_pay"/>
    <s v="Visa credit (Apple Pay)"/>
    <s v="m******4@gmail.com"/>
  </r>
  <r>
    <s v="ch_3R4CgUKc9ZnUJQuy1Lrm8OVu"/>
    <d v="2025-03-19T02:48:56"/>
    <b v="0"/>
    <n v="5"/>
    <x v="0"/>
    <n v="0.45"/>
    <n v="0.09"/>
    <b v="0"/>
    <s v="Fresno"/>
    <s v="CA"/>
    <s v="US"/>
    <n v="93710"/>
    <s v="Visa"/>
    <s v="debit"/>
    <s v="apple_pay"/>
    <s v="Visa debit (Apple Pay)"/>
    <s v="d******s@gmail.com"/>
  </r>
  <r>
    <s v="ch_3R4Bs4Kc9ZnUJQuy0e3B7wES"/>
    <d v="2025-03-19T01:59:18"/>
    <b v="0"/>
    <n v="5"/>
    <x v="0"/>
    <n v="0.45"/>
    <n v="0.09"/>
    <b v="1"/>
    <m/>
    <m/>
    <s v="US"/>
    <n v="70817"/>
    <s v="Visa"/>
    <s v="credit"/>
    <m/>
    <s v="Visa credit (Keyed)"/>
    <s v="t*******t@bellsouth.net"/>
  </r>
  <r>
    <s v="ch_3R4BgDKc9ZnUJQuy16xFmkIw"/>
    <d v="2025-03-19T01:44:58"/>
    <b v="0"/>
    <n v="5"/>
    <x v="0"/>
    <n v="0.45"/>
    <n v="0.09"/>
    <b v="0"/>
    <s v="Mount Pleasant"/>
    <s v="WI"/>
    <s v="US"/>
    <n v="53406"/>
    <s v="Visa"/>
    <s v="credit"/>
    <s v="apple_pay"/>
    <s v="Visa credit (Apple Pay)"/>
    <s v="l***********0@gmail.com"/>
  </r>
  <r>
    <s v="ch_3R4AhqKc9ZnUJQuy0qDHWe8b"/>
    <d v="2025-03-19T00:42:26"/>
    <b v="0"/>
    <n v="5"/>
    <x v="0"/>
    <n v="0.45"/>
    <n v="0.09"/>
    <b v="1"/>
    <m/>
    <m/>
    <s v="US"/>
    <n v="46628"/>
    <s v="American Express"/>
    <s v="credit"/>
    <m/>
    <s v="American Express credit (Keyed)"/>
    <s v="t******3@gmail.com"/>
  </r>
  <r>
    <s v="ch_3R49HqKc9ZnUJQuy0dVsYct9"/>
    <d v="2025-03-18T23:11:20"/>
    <b v="0"/>
    <n v="5"/>
    <x v="0"/>
    <n v="0.45"/>
    <n v="0.09"/>
    <b v="0"/>
    <s v="Andover"/>
    <s v="KS"/>
    <s v="US"/>
    <n v="67002"/>
    <s v="Visa"/>
    <s v="debit"/>
    <s v="android_pay"/>
    <s v="Visa debit (Android Pay)"/>
    <s v="e********l@gmail.com"/>
  </r>
  <r>
    <s v="ch_3R48vRKc9ZnUJQuy0uzC8IyP"/>
    <d v="2025-03-18T22:48:33"/>
    <b v="0"/>
    <n v="5"/>
    <x v="0"/>
    <n v="0.45"/>
    <n v="0.09"/>
    <b v="1"/>
    <m/>
    <m/>
    <s v="US"/>
    <n v="60126"/>
    <s v="Visa"/>
    <s v="credit"/>
    <m/>
    <s v="Visa credit (Keyed)"/>
    <s v="r*****r@gmail.com"/>
  </r>
  <r>
    <s v="ch_3R47YUKc9ZnUJQuy0NRpvQvy"/>
    <d v="2025-03-18T21:20:39"/>
    <b v="0"/>
    <n v="5"/>
    <x v="0"/>
    <n v="0.45"/>
    <n v="0.09"/>
    <b v="0"/>
    <s v="Kingwood"/>
    <s v="TX"/>
    <s v="US"/>
    <n v="77345"/>
    <s v="MasterCard"/>
    <s v="credit"/>
    <s v="apple_pay"/>
    <s v="MasterCard credit (Apple Pay)"/>
    <s v="r**********4@aol.com"/>
  </r>
  <r>
    <s v="ch_3R45WVKc9ZnUJQuy0bN4JsL4"/>
    <d v="2025-03-18T19:11:39"/>
    <b v="0"/>
    <n v="5"/>
    <x v="0"/>
    <n v="0.45"/>
    <n v="0.09"/>
    <b v="0"/>
    <m/>
    <m/>
    <s v="US"/>
    <n v="91942"/>
    <s v="MasterCard"/>
    <s v="credit"/>
    <m/>
    <s v="MasterCard credit (Keyed)"/>
    <s v="j******6@gmail.com"/>
  </r>
  <r>
    <s v="ch_3R45U7Kc9ZnUJQuy0m2YOp4d"/>
    <d v="2025-03-18T19:07:49"/>
    <b v="0"/>
    <n v="5"/>
    <x v="0"/>
    <n v="0.45"/>
    <n v="0.09"/>
    <b v="0"/>
    <m/>
    <m/>
    <s v="US"/>
    <n v="54022"/>
    <s v="MasterCard"/>
    <s v="credit"/>
    <m/>
    <s v="MasterCard credit (Keyed)"/>
    <s v="d******n@comcast.net"/>
  </r>
  <r>
    <s v="ch_3R42u2Kc9ZnUJQuy0kLSUNaV"/>
    <d v="2025-03-18T16:22:24"/>
    <b v="0"/>
    <n v="5"/>
    <x v="0"/>
    <n v="0.45"/>
    <n v="0.09"/>
    <b v="1"/>
    <s v="Chicago"/>
    <s v="IL"/>
    <s v="US"/>
    <n v="60601"/>
    <s v="Visa"/>
    <s v="credit"/>
    <m/>
    <s v="Visa credit (Keyed)"/>
    <s v="d****************i@gmail.com"/>
  </r>
  <r>
    <s v="ch_3R41daKc9ZnUJQuy1gcJWbf7"/>
    <d v="2025-03-18T15:01:36"/>
    <b v="0"/>
    <n v="5"/>
    <x v="0"/>
    <n v="0.45"/>
    <n v="0.09"/>
    <b v="1"/>
    <m/>
    <m/>
    <s v="US"/>
    <s v="49601-9686"/>
    <s v="American Express"/>
    <s v="credit"/>
    <m/>
    <s v="American Express credit (Keyed)"/>
    <s v="s**4@comcast.net"/>
  </r>
  <r>
    <s v="ch_3R3n9tKc9ZnUJQuy1lqeKc4s"/>
    <d v="2025-03-17T23:33:53"/>
    <b v="0"/>
    <n v="4"/>
    <x v="3"/>
    <n v="0.42"/>
    <n v="0.105"/>
    <b v="0"/>
    <s v="Saskatoon"/>
    <s v="SK"/>
    <s v="CA"/>
    <s v="S7J2R9"/>
    <s v="MasterCard"/>
    <s v="credit"/>
    <s v="apple_pay"/>
    <s v="MasterCard credit (Apple Pay)"/>
    <s v="d******y@gmail.com"/>
  </r>
  <r>
    <s v="ch_3R3lvTKc9ZnUJQuy0J87qhSR"/>
    <d v="2025-03-17T22:14:37"/>
    <b v="0"/>
    <n v="5"/>
    <x v="0"/>
    <n v="0.45"/>
    <n v="0.09"/>
    <b v="1"/>
    <s v="Avondale"/>
    <s v="PA"/>
    <s v="US"/>
    <n v="19311"/>
    <s v="Visa"/>
    <s v="credit"/>
    <m/>
    <s v="Visa credit (Keyed)"/>
    <s v="m***********e@gmail.com"/>
  </r>
  <r>
    <s v="ch_3R3kPRKc9ZnUJQuy19Pl36Ds"/>
    <d v="2025-03-17T20:37:31"/>
    <b v="0"/>
    <n v="5"/>
    <x v="0"/>
    <n v="0.45"/>
    <n v="0.09"/>
    <b v="0"/>
    <s v="Chicago"/>
    <s v="IL"/>
    <s v="US"/>
    <n v="60605"/>
    <s v="MasterCard"/>
    <s v="credit"/>
    <s v="android_pay"/>
    <s v="MasterCard credit (Android Pay)"/>
    <s v="m******i@gmail.com"/>
  </r>
  <r>
    <s v="ch_3R3h9GKc9ZnUJQuy1K8v50OG"/>
    <d v="2025-03-17T17:09:38"/>
    <b v="0"/>
    <n v="5"/>
    <x v="0"/>
    <n v="0.45"/>
    <n v="0.09"/>
    <b v="1"/>
    <m/>
    <m/>
    <s v="US"/>
    <n v="18642"/>
    <s v="Visa"/>
    <s v="debit"/>
    <m/>
    <s v="Visa debit (Keyed)"/>
    <s v="t**********s@aol.com"/>
  </r>
  <r>
    <s v="ch_3R3fyNKc9ZnUJQuy0HeYk78X"/>
    <d v="2025-03-17T15:53:29"/>
    <b v="0"/>
    <n v="5"/>
    <x v="0"/>
    <n v="0.45"/>
    <n v="0.09"/>
    <b v="1"/>
    <m/>
    <m/>
    <s v="US"/>
    <s v="97068-2603"/>
    <s v="Visa"/>
    <s v="debit"/>
    <m/>
    <s v="Visa debit (Keyed)"/>
    <s v="m*******d@comcast.net"/>
  </r>
  <r>
    <s v="ch_3R3fKLKc9ZnUJQuy08oznhDI"/>
    <d v="2025-03-17T15:12:13"/>
    <b v="0"/>
    <n v="5"/>
    <x v="0"/>
    <n v="0.45"/>
    <n v="0.09"/>
    <b v="1"/>
    <m/>
    <m/>
    <s v="US"/>
    <n v="19382"/>
    <s v="American Express"/>
    <s v="credit"/>
    <m/>
    <s v="American Express credit (Keyed)"/>
    <s v="k***********3@gmail.com"/>
  </r>
  <r>
    <s v="ch_3R3ez9Kc9ZnUJQuy0zjxcIuS"/>
    <d v="2025-03-17T14:50:02"/>
    <b v="0"/>
    <n v="5"/>
    <x v="0"/>
    <n v="0.45"/>
    <n v="0.09"/>
    <b v="0"/>
    <m/>
    <m/>
    <s v="CA"/>
    <s v="V1B 3W8"/>
    <s v="Visa"/>
    <s v="credit"/>
    <m/>
    <s v="Visa credit (Keyed)"/>
    <s v="m***********s@hotmail.com"/>
  </r>
  <r>
    <s v="ch_3R3eEZKc9ZnUJQuy0soyDBag"/>
    <d v="2025-03-17T14:05:44"/>
    <b v="0"/>
    <n v="4"/>
    <x v="3"/>
    <n v="0.42"/>
    <n v="0.105"/>
    <b v="1"/>
    <s v="Raleigh"/>
    <s v="NC"/>
    <s v="US"/>
    <n v="27613"/>
    <s v="American Express"/>
    <s v="credit"/>
    <m/>
    <s v="American Express credit (Keyed)"/>
    <s v="j*********k@gmail.com"/>
  </r>
  <r>
    <s v="ch_3R3aXyKc9ZnUJQuy16BHiVDm"/>
    <d v="2025-03-17T10:05:38"/>
    <b v="1"/>
    <n v="5"/>
    <x v="0"/>
    <n v="0.45"/>
    <n v="0.09"/>
    <b v="0"/>
    <s v="Benton"/>
    <s v="AR"/>
    <s v="US"/>
    <s v="72019-8545"/>
    <s v="MasterCard"/>
    <s v="credit"/>
    <s v="apple_pay"/>
    <s v="MasterCard credit (Apple Pay)"/>
    <s v="a********9@gmail.com"/>
  </r>
  <r>
    <s v="ch_3R3ZMeKc9ZnUJQuy1I0qmobu"/>
    <d v="2025-03-17T08:50:02"/>
    <b v="1"/>
    <n v="5"/>
    <x v="0"/>
    <n v="0.45"/>
    <n v="0.09"/>
    <b v="0"/>
    <m/>
    <m/>
    <s v="US"/>
    <n v="29681"/>
    <s v="Visa"/>
    <s v="debit"/>
    <m/>
    <s v="Visa debit (Keyed)"/>
    <s v="a*********1@gmail.com"/>
  </r>
  <r>
    <s v="ch_3R3SmkKc9ZnUJQuy1eR637n0"/>
    <d v="2025-03-17T01:48:19"/>
    <b v="1"/>
    <n v="5"/>
    <x v="0"/>
    <n v="0.45"/>
    <n v="0.09"/>
    <b v="0"/>
    <s v="Rochester"/>
    <s v="MN"/>
    <s v="US"/>
    <n v="55902"/>
    <s v="American Express"/>
    <s v="credit"/>
    <s v="apple_pay"/>
    <s v="American Express credit (Apple Pay)"/>
    <s v="c************g@gmail.com"/>
  </r>
  <r>
    <s v="ch_3R3SBtKc9ZnUJQuy1UI3wvA9"/>
    <d v="2025-03-17T01:10:21"/>
    <b v="1"/>
    <n v="5"/>
    <x v="0"/>
    <n v="0.45"/>
    <n v="0.09"/>
    <b v="0"/>
    <s v="Beavercreek"/>
    <s v="OH"/>
    <s v="US"/>
    <n v="45440"/>
    <s v="Visa"/>
    <s v="debit"/>
    <s v="apple_pay"/>
    <s v="Visa debit (Apple Pay)"/>
    <s v="c*****************7@gmail.com"/>
  </r>
  <r>
    <s v="ch_3R3Rj0Kc9ZnUJQuy1x9Ca6F9"/>
    <d v="2025-03-17T00:40:42"/>
    <b v="1"/>
    <n v="5"/>
    <x v="0"/>
    <n v="0.45"/>
    <n v="0.09"/>
    <b v="1"/>
    <m/>
    <m/>
    <s v="US"/>
    <n v="48015"/>
    <s v="MasterCard"/>
    <s v="debit"/>
    <m/>
    <s v="MasterCard debit (Keyed)"/>
    <s v="w********m@gmail.com"/>
  </r>
  <r>
    <s v="ch_3R3R8mKc9ZnUJQuy0UqPdBDY"/>
    <d v="2025-03-17T00:04:55"/>
    <b v="1"/>
    <n v="5"/>
    <x v="0"/>
    <n v="0.45"/>
    <n v="0.09"/>
    <b v="0"/>
    <m/>
    <m/>
    <s v="US"/>
    <n v="40065"/>
    <s v="MasterCard"/>
    <s v="credit"/>
    <m/>
    <s v="MasterCard credit (Keyed)"/>
    <s v="r************8@gmail.com"/>
  </r>
  <r>
    <s v="ch_3R38E0Kc9ZnUJQuy1fYXwnwI"/>
    <d v="2025-03-16T03:51:16"/>
    <b v="1"/>
    <n v="5"/>
    <x v="0"/>
    <n v="0.45"/>
    <n v="0.09"/>
    <b v="0"/>
    <s v="Kirkwood"/>
    <s v="MO"/>
    <s v="US"/>
    <n v="63122"/>
    <s v="Visa"/>
    <s v="credit"/>
    <s v="apple_pay"/>
    <s v="Visa credit (Apple Pay)"/>
    <s v="j*******2@gmail.com"/>
  </r>
  <r>
    <s v="ch_3R2J31Kc9ZnUJQuy1hb4jzrn"/>
    <d v="2025-03-13T21:13:00"/>
    <b v="1"/>
    <n v="0.5"/>
    <x v="4"/>
    <n v="0.31"/>
    <n v="0.62"/>
    <b v="0"/>
    <m/>
    <m/>
    <s v="US"/>
    <n v="49426"/>
    <s v="Visa"/>
    <s v="credit"/>
    <m/>
    <s v="Visa credit (Keyed)"/>
    <s v="j************a@gmail.com"/>
  </r>
  <r>
    <s v="ch_3R1r9KKc9ZnUJQuy0IvW2gbT"/>
    <d v="2025-03-12T15:25:20"/>
    <b v="1"/>
    <n v="5"/>
    <x v="0"/>
    <n v="0.45"/>
    <n v="0.09"/>
    <b v="1"/>
    <s v="Highlands Ranch"/>
    <s v="CO"/>
    <s v="US"/>
    <n v="80130"/>
    <s v="MasterCard"/>
    <s v="debit"/>
    <m/>
    <s v="MasterCard debit (Keyed)"/>
    <s v="m************a@gmail.com"/>
  </r>
  <r>
    <s v="ch_3QyzgVKc9ZnUJQuy0yxRsfaW"/>
    <d v="2025-03-04T18:03:44"/>
    <b v="1"/>
    <n v="5"/>
    <x v="0"/>
    <n v="0.45"/>
    <n v="0.09"/>
    <b v="0"/>
    <m/>
    <m/>
    <s v="US"/>
    <n v="49080"/>
    <s v="Visa"/>
    <s v="credit"/>
    <m/>
    <s v="Visa credit (Keyed)"/>
    <s v="h*********k@gmail.com"/>
  </r>
  <r>
    <s v="ch_3QuKN1Kc9ZnUJQuy1qnpuwd9"/>
    <d v="2025-02-19T21:00:55"/>
    <b v="1"/>
    <n v="0.5"/>
    <x v="4"/>
    <n v="0.31"/>
    <n v="0.62"/>
    <b v="0"/>
    <m/>
    <m/>
    <s v="US"/>
    <n v="49426"/>
    <s v="MasterCard"/>
    <s v="debit"/>
    <m/>
    <s v="MasterCard debit (Keyed)"/>
    <s v="i*****o@mail.gvsu.edu"/>
  </r>
  <r>
    <s v="ch_3QuKDgKc9ZnUJQuy1GNMjQmO"/>
    <d v="2025-02-19T20:58:37"/>
    <b v="1"/>
    <n v="0.5"/>
    <x v="4"/>
    <n v="0.31"/>
    <n v="0.62"/>
    <b v="0"/>
    <m/>
    <m/>
    <s v="US"/>
    <n v="49426"/>
    <s v="MasterCard"/>
    <s v="debit"/>
    <m/>
    <s v="MasterCard debit (Keyed)"/>
    <s v="m*********3@gmail.com"/>
  </r>
  <r>
    <m/>
    <m/>
    <m/>
    <m/>
    <x v="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815C4-729F-4CA1-A585-AEC970A38DB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oupon Used">
  <location ref="A19:D24" firstHeaderRow="0" firstDataRow="1" firstDataCol="1"/>
  <pivotFields count="23">
    <pivotField dataField="1" showAll="0"/>
    <pivotField showAll="0"/>
    <pivotField showAll="0"/>
    <pivotField numFmtId="22" showAll="0"/>
    <pivotField dataField="1" showAll="0"/>
    <pivotField axis="axisRow" showAll="0">
      <items count="6">
        <item x="3"/>
        <item n="No Coupon"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4" baseField="0" baseItem="0" numFmtId="164"/>
    <dataField name="Avg Revenue/User" fld="4" subtotal="average" baseField="7" baseItem="0" numFmtId="164"/>
  </dataFields>
  <formats count="9"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pon Used">
  <location ref="A27:D32" firstHeaderRow="0" firstDataRow="1" firstDataCol="1"/>
  <pivotFields count="22">
    <pivotField dataField="1" showAll="0">
      <items count="100">
        <item x="0"/>
        <item x="1"/>
        <item x="2"/>
        <item x="3"/>
        <item x="4"/>
        <item x="5"/>
        <item x="8"/>
        <item x="6"/>
        <item x="7"/>
        <item x="9"/>
        <item x="40"/>
        <item x="41"/>
        <item x="42"/>
        <item x="43"/>
        <item x="44"/>
        <item x="45"/>
        <item x="46"/>
        <item x="47"/>
        <item x="48"/>
        <item x="49"/>
        <item x="51"/>
        <item x="10"/>
        <item x="50"/>
        <item x="11"/>
        <item x="52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53"/>
        <item x="25"/>
        <item x="26"/>
        <item x="54"/>
        <item x="27"/>
        <item x="57"/>
        <item x="55"/>
        <item x="58"/>
        <item x="56"/>
        <item x="29"/>
        <item x="30"/>
        <item x="31"/>
        <item x="28"/>
        <item x="59"/>
        <item x="33"/>
        <item x="32"/>
        <item x="34"/>
        <item x="37"/>
        <item x="38"/>
        <item x="35"/>
        <item x="36"/>
        <item x="3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7"/>
        <item x="80"/>
        <item x="81"/>
        <item x="78"/>
        <item x="82"/>
        <item x="79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4"/>
        <item x="97"/>
        <item x="98"/>
        <item t="default"/>
      </items>
    </pivotField>
    <pivotField showAll="0"/>
    <pivotField showAll="0"/>
    <pivotField numFmtId="22" showAll="0"/>
    <pivotField dataField="1" showAll="0"/>
    <pivotField showAll="0"/>
    <pivotField showAll="0"/>
    <pivotField axis="axisRow" showAll="0">
      <items count="5">
        <item x="2"/>
        <item x="0"/>
        <item x="3"/>
        <item n="No Coupon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4" baseField="0" baseItem="0" numFmtId="164"/>
    <dataField name="Avg Revenue/User" fld="4" subtotal="average" baseField="7" baseItem="0" numFmtId="164"/>
  </dataFields>
  <formats count="15"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field="7" type="button" dataOnly="0" labelOnly="1" outline="0" axis="axisRow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dataOnly="0" labelOnly="1" fieldPosition="0">
        <references count="1">
          <reference field="7" count="1">
            <x v="3"/>
          </reference>
        </references>
      </pivotArea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field="7" type="button" dataOnly="0" labelOnly="1" outline="0" axis="axisRow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7" type="button" dataOnly="0" labelOnly="1" outline="0" axis="axisRow" fieldPosition="0"/>
    </format>
    <format dxfId="31">
      <pivotArea dataOnly="0" labelOnly="1" fieldPosition="0">
        <references count="1">
          <reference field="7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collapsedLevelsAreSubtotals="1" fieldPosition="0">
        <references count="1">
          <reference field="7" count="0"/>
        </references>
      </pivotArea>
    </format>
    <format dxfId="27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A38E2-F5EE-DD40-A343-2B3D97F80E3F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oupon Used">
  <location ref="A3:D9" firstHeaderRow="0" firstDataRow="1" firstDataCol="1"/>
  <pivotFields count="17">
    <pivotField dataField="1" showAll="0"/>
    <pivotField showAll="0"/>
    <pivotField showAll="0"/>
    <pivotField dataField="1" showAll="0"/>
    <pivotField axis="axisRow" showAll="0">
      <items count="6">
        <item x="3"/>
        <item n="No Coupon"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3" baseField="0" baseItem="0" numFmtId="164"/>
    <dataField name="Avg Revenue/User" fld="3" subtotal="average" baseField="7" baseItem="0" numFmtId="164"/>
  </dataFields>
  <formats count="9">
    <format dxfId="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dataOnly="0" labelOnly="1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8C3FD-FB75-F947-A5C0-015B63B8098E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oupon Used">
  <location ref="A12:D16" firstHeaderRow="0" firstDataRow="1" firstDataCol="1"/>
  <pivotFields count="23">
    <pivotField dataField="1" showAll="0"/>
    <pivotField showAll="0"/>
    <pivotField showAll="0"/>
    <pivotField dataField="1" showAll="0"/>
    <pivotField axis="axisRow" showAll="0">
      <items count="4">
        <item x="2"/>
        <item x="0"/>
        <item n="No Coupon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3" baseField="0" baseItem="0" numFmtId="164"/>
    <dataField name="Avg Revenue/User" fld="3" subtotal="average" baseField="7" baseItem="0" numFmtId="164"/>
  </dataFields>
  <formats count="9"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FE7E9-2897-2745-A743-449F04670DD8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pon Used">
  <location ref="A42:D46" firstHeaderRow="0" firstDataRow="1" firstDataCol="1"/>
  <pivotFields count="22">
    <pivotField dataField="1" showAll="0">
      <items count="57">
        <item x="55"/>
        <item x="54"/>
        <item x="53"/>
        <item x="37"/>
        <item x="36"/>
        <item x="35"/>
        <item x="52"/>
        <item x="33"/>
        <item x="34"/>
        <item x="32"/>
        <item x="31"/>
        <item x="30"/>
        <item x="51"/>
        <item x="50"/>
        <item x="29"/>
        <item x="49"/>
        <item x="28"/>
        <item x="48"/>
        <item x="27"/>
        <item x="46"/>
        <item x="47"/>
        <item x="45"/>
        <item x="44"/>
        <item x="43"/>
        <item x="42"/>
        <item x="41"/>
        <item x="40"/>
        <item x="39"/>
        <item x="38"/>
        <item x="26"/>
        <item x="25"/>
        <item x="24"/>
        <item x="23"/>
        <item x="22"/>
        <item x="21"/>
        <item x="20"/>
        <item x="18"/>
        <item x="19"/>
        <item x="3"/>
        <item x="17"/>
        <item x="16"/>
        <item x="15"/>
        <item x="1"/>
        <item x="2"/>
        <item x="14"/>
        <item x="13"/>
        <item x="0"/>
        <item x="12"/>
        <item x="11"/>
        <item x="10"/>
        <item x="9"/>
        <item x="8"/>
        <item x="7"/>
        <item x="6"/>
        <item x="5"/>
        <item x="4"/>
        <item t="default"/>
      </items>
    </pivotField>
    <pivotField showAll="0"/>
    <pivotField showAll="0"/>
    <pivotField numFmtId="22" showAll="0"/>
    <pivotField axis="axisRow" showAll="0">
      <items count="4">
        <item x="2"/>
        <item x="1"/>
        <item n="No Coupon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5" baseField="0" baseItem="0" numFmtId="164"/>
    <dataField name="Avg Revenue/User" fld="5" subtotal="average" baseField="4" baseItem="1" numFmtId="164"/>
  </dataFields>
  <formats count="21">
    <format dxfId="80">
      <pivotArea dataOnly="0" labelOnly="1" fieldPosition="0">
        <references count="1">
          <reference field="4" count="1">
            <x v="2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4" type="button" dataOnly="0" labelOnly="1" outline="0" axis="axisRow" fieldPosition="0"/>
    </format>
    <format dxfId="74">
      <pivotArea dataOnly="0" labelOnly="1" fieldPosition="0">
        <references count="1">
          <reference field="4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field="4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field="4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field="4" type="button" dataOnly="0" labelOnly="1" outline="0" axis="axisRow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pon Used">
  <location ref="A35:D39" firstHeaderRow="0" firstDataRow="1" firstDataCol="1"/>
  <pivotFields count="22">
    <pivotField dataField="1" showAll="0">
      <items count="57">
        <item x="55"/>
        <item x="54"/>
        <item x="53"/>
        <item x="37"/>
        <item x="36"/>
        <item x="35"/>
        <item x="52"/>
        <item x="33"/>
        <item x="34"/>
        <item x="32"/>
        <item x="31"/>
        <item x="30"/>
        <item x="51"/>
        <item x="50"/>
        <item x="29"/>
        <item x="49"/>
        <item x="28"/>
        <item x="48"/>
        <item x="27"/>
        <item x="46"/>
        <item x="47"/>
        <item x="45"/>
        <item x="44"/>
        <item x="43"/>
        <item x="42"/>
        <item x="41"/>
        <item x="40"/>
        <item x="39"/>
        <item x="38"/>
        <item x="26"/>
        <item x="25"/>
        <item x="24"/>
        <item x="23"/>
        <item x="22"/>
        <item x="21"/>
        <item x="20"/>
        <item x="18"/>
        <item x="19"/>
        <item x="3"/>
        <item x="17"/>
        <item x="16"/>
        <item x="15"/>
        <item x="1"/>
        <item x="2"/>
        <item x="14"/>
        <item x="13"/>
        <item x="0"/>
        <item x="12"/>
        <item x="11"/>
        <item x="10"/>
        <item x="9"/>
        <item x="8"/>
        <item x="7"/>
        <item x="6"/>
        <item x="5"/>
        <item x="4"/>
        <item t="default"/>
      </items>
    </pivotField>
    <pivotField showAll="0"/>
    <pivotField showAll="0"/>
    <pivotField numFmtId="22" showAll="0"/>
    <pivotField axis="axisRow" showAll="0">
      <items count="4">
        <item x="2"/>
        <item x="1"/>
        <item n="No Coupon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5" baseField="0" baseItem="0" numFmtId="164"/>
    <dataField name="Avg Revenue/User" fld="5" subtotal="average" baseField="4" baseItem="1" numFmtId="164"/>
  </dataFields>
  <formats count="21">
    <format dxfId="101">
      <pivotArea dataOnly="0" labelOnly="1" fieldPosition="0">
        <references count="1">
          <reference field="4" count="1">
            <x v="2"/>
          </reference>
        </references>
      </pivotArea>
    </format>
    <format dxfId="10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4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2">
      <pivotArea field="4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">
      <pivotArea field="4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5">
      <pivotArea outline="0" collapsedLevelsAreSubtotals="1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field="4" type="button" dataOnly="0" labelOnly="1" outline="0" axis="axisRow" fieldPosition="0"/>
    </format>
    <format dxfId="82">
      <pivotArea dataOnly="0" labelOnly="1" fieldPosition="0">
        <references count="1">
          <reference field="4" count="0"/>
        </references>
      </pivotArea>
    </format>
    <format dxfId="8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CF3E0-50F2-9B44-83E3-DA36EEF40ECF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s">
  <location ref="A2:D7" firstHeaderRow="0" firstDataRow="1" firstDataCol="1"/>
  <pivotFields count="22">
    <pivotField dataField="1" showAll="0">
      <items count="100">
        <item x="0"/>
        <item x="1"/>
        <item x="2"/>
        <item x="3"/>
        <item x="4"/>
        <item x="5"/>
        <item x="8"/>
        <item x="6"/>
        <item x="7"/>
        <item x="9"/>
        <item x="40"/>
        <item x="41"/>
        <item x="42"/>
        <item x="43"/>
        <item x="44"/>
        <item x="45"/>
        <item x="46"/>
        <item x="47"/>
        <item x="48"/>
        <item x="49"/>
        <item x="51"/>
        <item x="10"/>
        <item x="50"/>
        <item x="11"/>
        <item x="52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53"/>
        <item x="25"/>
        <item x="26"/>
        <item x="54"/>
        <item x="27"/>
        <item x="57"/>
        <item x="55"/>
        <item x="58"/>
        <item x="56"/>
        <item x="29"/>
        <item x="30"/>
        <item x="31"/>
        <item x="28"/>
        <item x="59"/>
        <item x="33"/>
        <item x="32"/>
        <item x="34"/>
        <item x="37"/>
        <item x="38"/>
        <item x="35"/>
        <item x="36"/>
        <item x="39"/>
        <item x="60"/>
        <item x="61"/>
        <item x="62"/>
        <item x="63"/>
        <item x="64"/>
        <item x="65"/>
        <item x="66"/>
        <item x="67"/>
        <item x="69"/>
        <item x="68"/>
        <item x="70"/>
        <item x="71"/>
        <item x="72"/>
        <item x="73"/>
        <item x="74"/>
        <item x="75"/>
        <item x="76"/>
        <item x="77"/>
        <item x="80"/>
        <item x="81"/>
        <item x="78"/>
        <item x="82"/>
        <item x="79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4"/>
        <item x="97"/>
        <item x="98"/>
        <item t="default"/>
      </items>
    </pivotField>
    <pivotField showAll="0"/>
    <pivotField showAll="0"/>
    <pivotField numFmtId="22" showAll="0"/>
    <pivotField dataField="1" showAll="0"/>
    <pivotField showAll="0"/>
    <pivotField showAll="0"/>
    <pivotField axis="axisRow" showAll="0">
      <items count="5">
        <item x="2"/>
        <item x="0"/>
        <item x="3"/>
        <item n="No Coupon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nsaction Count" fld="0" subtotal="count" baseField="0" baseItem="0"/>
    <dataField name="Total Amount" fld="4" baseField="0" baseItem="0" numFmtId="164"/>
    <dataField name="Avg Revenue/User" fld="4" subtotal="average" baseField="7" baseItem="0" numFmtId="164"/>
  </dataFields>
  <formats count="15"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field="7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dataOnly="0" labelOnly="1" fieldPosition="0">
        <references count="1">
          <reference field="7" count="1"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7" type="button" dataOnly="0" labelOnly="1" outline="0" axis="axisRow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7" type="button" dataOnly="0" labelOnly="1" outline="0" axis="axisRow" fieldPosition="0"/>
    </format>
    <format dxfId="7">
      <pivotArea dataOnly="0" labelOnly="1" fieldPosition="0">
        <references count="1">
          <reference field="7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collapsedLevelsAreSubtotals="1" fieldPosition="0">
        <references count="1">
          <reference field="7" count="0"/>
        </references>
      </pivotArea>
    </format>
    <format dxfId="3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8" workbookViewId="0">
      <selection activeCell="E21" sqref="E21"/>
    </sheetView>
  </sheetViews>
  <sheetFormatPr baseColWidth="10" defaultColWidth="8.83203125" defaultRowHeight="15" x14ac:dyDescent="0.2"/>
  <cols>
    <col min="1" max="1" width="20.1640625" customWidth="1"/>
    <col min="2" max="2" width="10" bestFit="1" customWidth="1"/>
    <col min="3" max="3" width="10.33203125" customWidth="1"/>
    <col min="4" max="4" width="12.33203125" customWidth="1"/>
    <col min="5" max="5" width="9.83203125" customWidth="1"/>
    <col min="7" max="7" width="7.83203125" customWidth="1"/>
    <col min="8" max="8" width="8.83203125" hidden="1" customWidth="1"/>
    <col min="9" max="9" width="10.6640625" customWidth="1"/>
    <col min="10" max="10" width="9.33203125" customWidth="1"/>
    <col min="13" max="13" width="3.6640625" customWidth="1"/>
    <col min="16" max="16" width="8.6640625" customWidth="1"/>
    <col min="18" max="18" width="10.5" customWidth="1"/>
    <col min="19" max="19" width="13.5" customWidth="1"/>
  </cols>
  <sheetData>
    <row r="1" spans="1:22" ht="16" thickBot="1" x14ac:dyDescent="0.25"/>
    <row r="2" spans="1:22" ht="27" customHeight="1" x14ac:dyDescent="0.2">
      <c r="A2" s="94" t="s">
        <v>2373</v>
      </c>
      <c r="B2" s="95"/>
      <c r="C2" s="95"/>
      <c r="D2" s="96"/>
      <c r="I2" s="8" t="s">
        <v>665</v>
      </c>
      <c r="J2" s="7" t="s">
        <v>667</v>
      </c>
      <c r="L2" s="92" t="s">
        <v>2375</v>
      </c>
      <c r="M2" s="90"/>
      <c r="N2" s="90"/>
      <c r="O2" s="90"/>
      <c r="P2" s="90"/>
      <c r="Q2" s="90"/>
      <c r="R2" s="90"/>
      <c r="S2" s="90"/>
      <c r="T2" s="90"/>
      <c r="U2" s="90"/>
      <c r="V2" s="93"/>
    </row>
    <row r="3" spans="1:22" ht="32" x14ac:dyDescent="0.2">
      <c r="A3" s="64" t="s">
        <v>426</v>
      </c>
      <c r="B3" s="24" t="s">
        <v>427</v>
      </c>
      <c r="C3" s="76" t="s">
        <v>425</v>
      </c>
      <c r="D3" s="26" t="s">
        <v>659</v>
      </c>
      <c r="I3" s="4">
        <v>0</v>
      </c>
      <c r="J3" s="11">
        <f>SUMIF(A4:A6,"ROTOWIRE",B4:B6)</f>
        <v>0</v>
      </c>
      <c r="L3" s="3" t="s">
        <v>2379</v>
      </c>
    </row>
    <row r="4" spans="1:22" x14ac:dyDescent="0.2">
      <c r="A4" s="65" t="s">
        <v>423</v>
      </c>
      <c r="B4" s="23">
        <v>2</v>
      </c>
      <c r="C4" s="77">
        <v>8</v>
      </c>
      <c r="D4" s="34">
        <v>4</v>
      </c>
      <c r="I4" s="5">
        <v>26.5</v>
      </c>
      <c r="J4" s="9">
        <f>SUMIF(A4:A6,"WELCOMEBACK",B4:B6)</f>
        <v>2</v>
      </c>
      <c r="L4" s="3" t="s">
        <v>2384</v>
      </c>
    </row>
    <row r="5" spans="1:22" x14ac:dyDescent="0.2">
      <c r="A5" s="80" t="s">
        <v>428</v>
      </c>
      <c r="B5" s="14">
        <v>36</v>
      </c>
      <c r="C5" s="63">
        <v>180</v>
      </c>
      <c r="D5" s="15">
        <v>5</v>
      </c>
      <c r="I5" s="5">
        <v>800</v>
      </c>
      <c r="J5" s="9">
        <f>SUMIF(A5:A7,"WELCOMEBACK",B5:B7)</f>
        <v>0</v>
      </c>
      <c r="L5" s="3" t="s">
        <v>2377</v>
      </c>
    </row>
    <row r="6" spans="1:22" x14ac:dyDescent="0.2">
      <c r="A6" s="65" t="s">
        <v>2268</v>
      </c>
      <c r="B6" s="14">
        <v>2</v>
      </c>
      <c r="C6" s="63">
        <v>9</v>
      </c>
      <c r="D6" s="15">
        <v>4.5</v>
      </c>
      <c r="I6" s="6">
        <v>0</v>
      </c>
      <c r="J6" s="79" t="s">
        <v>668</v>
      </c>
      <c r="L6" s="3" t="s">
        <v>2376</v>
      </c>
    </row>
    <row r="7" spans="1:22" x14ac:dyDescent="0.2">
      <c r="A7" s="65" t="s">
        <v>2289</v>
      </c>
      <c r="B7" s="14">
        <v>1</v>
      </c>
      <c r="C7" s="63">
        <v>4</v>
      </c>
      <c r="D7" s="15">
        <v>4</v>
      </c>
    </row>
    <row r="8" spans="1:22" x14ac:dyDescent="0.2">
      <c r="A8" s="65" t="s">
        <v>657</v>
      </c>
      <c r="B8" s="14">
        <v>3</v>
      </c>
      <c r="C8" s="63">
        <v>1.5</v>
      </c>
      <c r="D8" s="15">
        <v>0.5</v>
      </c>
    </row>
    <row r="9" spans="1:22" x14ac:dyDescent="0.2">
      <c r="A9" s="78" t="s">
        <v>424</v>
      </c>
      <c r="B9" s="16">
        <v>44</v>
      </c>
      <c r="C9" s="75">
        <v>202.5</v>
      </c>
      <c r="D9" s="17">
        <v>4.6022727272727275</v>
      </c>
    </row>
    <row r="10" spans="1:22" ht="16" thickBot="1" x14ac:dyDescent="0.25">
      <c r="A10" s="81"/>
      <c r="C10" s="63"/>
      <c r="D10" s="63"/>
    </row>
    <row r="11" spans="1:22" ht="27" customHeight="1" x14ac:dyDescent="0.2">
      <c r="A11" s="94" t="s">
        <v>1809</v>
      </c>
      <c r="B11" s="95"/>
      <c r="C11" s="95"/>
      <c r="D11" s="96"/>
      <c r="I11" s="8" t="s">
        <v>665</v>
      </c>
      <c r="J11" s="7" t="s">
        <v>667</v>
      </c>
      <c r="L11" s="92" t="s">
        <v>2374</v>
      </c>
      <c r="M11" s="90"/>
      <c r="N11" s="90"/>
      <c r="O11" s="90"/>
      <c r="P11" s="90"/>
      <c r="Q11" s="90"/>
      <c r="R11" s="90"/>
      <c r="S11" s="90"/>
      <c r="T11" s="90"/>
      <c r="U11" s="90"/>
      <c r="V11" s="93"/>
    </row>
    <row r="12" spans="1:22" ht="32" x14ac:dyDescent="0.2">
      <c r="A12" s="64" t="s">
        <v>426</v>
      </c>
      <c r="B12" s="24" t="s">
        <v>427</v>
      </c>
      <c r="C12" s="76" t="s">
        <v>425</v>
      </c>
      <c r="D12" s="26" t="s">
        <v>659</v>
      </c>
      <c r="I12" s="4">
        <v>2500</v>
      </c>
      <c r="J12" s="11">
        <f>SUMIF(A13:A15,"ROTOWIRE",B13:B15)</f>
        <v>10</v>
      </c>
      <c r="L12" s="3" t="s">
        <v>1810</v>
      </c>
    </row>
    <row r="13" spans="1:22" x14ac:dyDescent="0.2">
      <c r="A13" s="65" t="s">
        <v>422</v>
      </c>
      <c r="B13" s="23">
        <v>10</v>
      </c>
      <c r="C13" s="77">
        <v>40</v>
      </c>
      <c r="D13" s="34">
        <v>4</v>
      </c>
      <c r="I13" s="5">
        <v>0</v>
      </c>
      <c r="J13" s="9">
        <f>SUMIF(A13:A15,"WELCOMEBACK",B13:B15)</f>
        <v>12</v>
      </c>
      <c r="L13" s="3" t="s">
        <v>2372</v>
      </c>
    </row>
    <row r="14" spans="1:22" x14ac:dyDescent="0.2">
      <c r="A14" s="65" t="s">
        <v>423</v>
      </c>
      <c r="B14" s="14">
        <v>12</v>
      </c>
      <c r="C14" s="63">
        <v>48</v>
      </c>
      <c r="D14" s="15">
        <v>4</v>
      </c>
      <c r="I14" s="6">
        <v>7755</v>
      </c>
      <c r="J14" s="79" t="s">
        <v>668</v>
      </c>
      <c r="L14" s="3" t="s">
        <v>2378</v>
      </c>
    </row>
    <row r="15" spans="1:22" x14ac:dyDescent="0.2">
      <c r="A15" s="80" t="s">
        <v>428</v>
      </c>
      <c r="B15" s="14">
        <v>87</v>
      </c>
      <c r="C15" s="63">
        <v>435</v>
      </c>
      <c r="D15" s="15">
        <v>5</v>
      </c>
    </row>
    <row r="16" spans="1:22" x14ac:dyDescent="0.2">
      <c r="A16" s="78" t="s">
        <v>424</v>
      </c>
      <c r="B16" s="16">
        <v>109</v>
      </c>
      <c r="C16" s="75">
        <v>523</v>
      </c>
      <c r="D16" s="17">
        <v>4.7981651376146788</v>
      </c>
    </row>
    <row r="17" spans="1:22" ht="16" thickBot="1" x14ac:dyDescent="0.25"/>
    <row r="18" spans="1:22" ht="32" x14ac:dyDescent="0.2">
      <c r="A18" s="94" t="s">
        <v>1237</v>
      </c>
      <c r="B18" s="95"/>
      <c r="C18" s="95"/>
      <c r="D18" s="96"/>
      <c r="I18" s="8" t="s">
        <v>665</v>
      </c>
      <c r="J18" s="7" t="s">
        <v>667</v>
      </c>
      <c r="L18" s="92" t="s">
        <v>1802</v>
      </c>
      <c r="M18" s="90"/>
      <c r="N18" s="90"/>
      <c r="O18" s="90"/>
      <c r="P18" s="90"/>
      <c r="Q18" s="90"/>
      <c r="R18" s="90"/>
      <c r="S18" s="90"/>
      <c r="T18" s="90"/>
      <c r="U18" s="90"/>
      <c r="V18" s="93"/>
    </row>
    <row r="19" spans="1:22" ht="32" x14ac:dyDescent="0.2">
      <c r="A19" s="64" t="s">
        <v>426</v>
      </c>
      <c r="B19" s="30" t="s">
        <v>427</v>
      </c>
      <c r="C19" s="18" t="s">
        <v>425</v>
      </c>
      <c r="D19" s="26" t="s">
        <v>659</v>
      </c>
      <c r="I19" s="4">
        <v>2500</v>
      </c>
      <c r="J19" s="11">
        <f>GETPIVOTDATA("Transaction Count",$A$19,"Coupon","ROTOWIRE")+GETPIVOTDATA("Transaction Count",$A$19,"Coupon","EMAIL")</f>
        <v>36</v>
      </c>
      <c r="L19" s="3" t="s">
        <v>1803</v>
      </c>
    </row>
    <row r="20" spans="1:22" x14ac:dyDescent="0.2">
      <c r="A20" s="65" t="s">
        <v>1801</v>
      </c>
      <c r="B20" s="33">
        <v>10</v>
      </c>
      <c r="C20" s="4">
        <v>37.5</v>
      </c>
      <c r="D20" s="34">
        <v>3.75</v>
      </c>
      <c r="I20" s="5">
        <v>0</v>
      </c>
      <c r="J20" s="9">
        <f>GETPIVOTDATA("Transaction Count",$A$19,"Coupon","WELCOMEBACK")</f>
        <v>3</v>
      </c>
      <c r="L20" s="3" t="s">
        <v>2383</v>
      </c>
    </row>
    <row r="21" spans="1:22" x14ac:dyDescent="0.2">
      <c r="A21" s="80" t="s">
        <v>428</v>
      </c>
      <c r="B21" s="2">
        <v>98</v>
      </c>
      <c r="C21" s="5">
        <v>490</v>
      </c>
      <c r="D21" s="15">
        <v>5</v>
      </c>
      <c r="I21" s="6">
        <v>0</v>
      </c>
      <c r="J21" s="10">
        <f>GETPIVOTDATA("Transaction Count",$A$19,"Coupon","NONE")</f>
        <v>98</v>
      </c>
      <c r="L21" s="3" t="s">
        <v>1808</v>
      </c>
    </row>
    <row r="22" spans="1:22" x14ac:dyDescent="0.2">
      <c r="A22" s="65" t="s">
        <v>422</v>
      </c>
      <c r="B22" s="2">
        <v>26</v>
      </c>
      <c r="C22" s="5">
        <v>104</v>
      </c>
      <c r="D22" s="15">
        <v>4</v>
      </c>
    </row>
    <row r="23" spans="1:22" x14ac:dyDescent="0.2">
      <c r="A23" s="65" t="s">
        <v>423</v>
      </c>
      <c r="B23" s="28">
        <v>3</v>
      </c>
      <c r="C23" s="6">
        <v>12</v>
      </c>
      <c r="D23" s="15">
        <v>4</v>
      </c>
    </row>
    <row r="24" spans="1:22" x14ac:dyDescent="0.2">
      <c r="A24" s="31" t="s">
        <v>424</v>
      </c>
      <c r="B24" s="28">
        <v>137</v>
      </c>
      <c r="C24" s="6">
        <v>643.5</v>
      </c>
      <c r="D24" s="17">
        <v>4.6970802919708028</v>
      </c>
    </row>
    <row r="25" spans="1:22" ht="58" customHeight="1" x14ac:dyDescent="0.2">
      <c r="A25" s="87"/>
      <c r="B25" s="88"/>
      <c r="C25" s="75"/>
      <c r="D25" s="75"/>
    </row>
    <row r="26" spans="1:22" ht="32" x14ac:dyDescent="0.2">
      <c r="A26" s="89" t="s">
        <v>658</v>
      </c>
      <c r="B26" s="90"/>
      <c r="C26" s="90"/>
      <c r="D26" s="91"/>
      <c r="I26" s="7" t="s">
        <v>665</v>
      </c>
      <c r="J26" s="7" t="s">
        <v>667</v>
      </c>
      <c r="L26" s="92" t="s">
        <v>681</v>
      </c>
      <c r="M26" s="90"/>
      <c r="N26" s="90"/>
      <c r="O26" s="90"/>
      <c r="P26" s="90"/>
      <c r="Q26" s="90"/>
      <c r="R26" s="90"/>
      <c r="S26" s="90"/>
      <c r="T26" s="90"/>
      <c r="U26" s="90"/>
      <c r="V26" s="93"/>
    </row>
    <row r="27" spans="1:22" ht="32" x14ac:dyDescent="0.2">
      <c r="A27" s="29" t="s">
        <v>426</v>
      </c>
      <c r="B27" s="30" t="s">
        <v>427</v>
      </c>
      <c r="C27" s="18" t="s">
        <v>425</v>
      </c>
      <c r="D27" s="13" t="s">
        <v>659</v>
      </c>
      <c r="I27" s="4">
        <v>750</v>
      </c>
      <c r="J27" s="11">
        <f>GETPIVOTDATA("Transaction Count",$A$27,"Coupon","ROTOWIRE")</f>
        <v>13</v>
      </c>
      <c r="L27" s="3" t="s">
        <v>677</v>
      </c>
    </row>
    <row r="28" spans="1:22" x14ac:dyDescent="0.2">
      <c r="A28" s="32" t="s">
        <v>421</v>
      </c>
      <c r="B28" s="33">
        <v>6</v>
      </c>
      <c r="C28" s="4">
        <v>18.84</v>
      </c>
      <c r="D28" s="34">
        <v>3.14</v>
      </c>
      <c r="I28" s="5">
        <v>0</v>
      </c>
      <c r="J28" s="9">
        <v>0</v>
      </c>
      <c r="L28" s="3" t="s">
        <v>666</v>
      </c>
    </row>
    <row r="29" spans="1:22" x14ac:dyDescent="0.2">
      <c r="A29" s="27" t="s">
        <v>422</v>
      </c>
      <c r="B29" s="2">
        <v>13</v>
      </c>
      <c r="C29" s="5">
        <v>52</v>
      </c>
      <c r="D29" s="15">
        <v>4</v>
      </c>
      <c r="I29" s="5">
        <v>0</v>
      </c>
      <c r="J29" s="9">
        <f>GETPIVOTDATA("Transaction Count",$A$27,"Coupon","PIDAY")+GETPIVOTDATA("Transaction Count",$A$27,"Coupon","WELCOMEBACK")</f>
        <v>7</v>
      </c>
      <c r="L29" s="3" t="s">
        <v>678</v>
      </c>
    </row>
    <row r="30" spans="1:22" x14ac:dyDescent="0.2">
      <c r="A30" s="27" t="s">
        <v>423</v>
      </c>
      <c r="B30" s="2">
        <v>1</v>
      </c>
      <c r="C30" s="5">
        <v>4</v>
      </c>
      <c r="D30" s="15">
        <v>4</v>
      </c>
      <c r="I30" s="6">
        <v>0</v>
      </c>
      <c r="J30" s="10">
        <f>GETPIVOTDATA("Transaction Count",$A$27,"Coupon","No Coupon")</f>
        <v>79</v>
      </c>
      <c r="L30" s="3" t="s">
        <v>1808</v>
      </c>
    </row>
    <row r="31" spans="1:22" x14ac:dyDescent="0.2">
      <c r="A31" s="35" t="s">
        <v>428</v>
      </c>
      <c r="B31" s="28">
        <v>79</v>
      </c>
      <c r="C31" s="6">
        <v>395</v>
      </c>
      <c r="D31" s="17">
        <v>5</v>
      </c>
    </row>
    <row r="32" spans="1:22" x14ac:dyDescent="0.2">
      <c r="A32" s="31" t="s">
        <v>424</v>
      </c>
      <c r="B32" s="28">
        <v>99</v>
      </c>
      <c r="C32" s="6">
        <v>469.84000000000003</v>
      </c>
      <c r="D32" s="17">
        <v>4.7458585858585858</v>
      </c>
    </row>
    <row r="33" spans="1:22" ht="6" customHeight="1" x14ac:dyDescent="0.2">
      <c r="A33" s="87"/>
      <c r="B33" s="88"/>
      <c r="C33" s="75"/>
      <c r="D33" s="75"/>
    </row>
    <row r="34" spans="1:22" ht="32" customHeight="1" x14ac:dyDescent="0.2">
      <c r="A34" s="89" t="s">
        <v>660</v>
      </c>
      <c r="B34" s="90"/>
      <c r="C34" s="90"/>
      <c r="D34" s="91"/>
      <c r="I34" s="8" t="s">
        <v>665</v>
      </c>
      <c r="J34" s="7" t="s">
        <v>667</v>
      </c>
      <c r="L34" s="92" t="s">
        <v>680</v>
      </c>
      <c r="M34" s="90"/>
      <c r="N34" s="90"/>
      <c r="O34" s="90"/>
      <c r="P34" s="90"/>
      <c r="Q34" s="90"/>
      <c r="R34" s="90"/>
      <c r="S34" s="90"/>
      <c r="T34" s="90"/>
      <c r="U34" s="90"/>
      <c r="V34" s="93"/>
    </row>
    <row r="35" spans="1:22" ht="32" x14ac:dyDescent="0.2">
      <c r="A35" s="36" t="s">
        <v>426</v>
      </c>
      <c r="B35" s="24" t="s">
        <v>427</v>
      </c>
      <c r="C35" s="25" t="s">
        <v>425</v>
      </c>
      <c r="D35" s="26" t="s">
        <v>659</v>
      </c>
      <c r="I35" s="4">
        <v>459.82</v>
      </c>
      <c r="J35" s="11">
        <v>0</v>
      </c>
      <c r="L35" s="3" t="s">
        <v>663</v>
      </c>
    </row>
    <row r="36" spans="1:22" ht="14.5" customHeight="1" x14ac:dyDescent="0.2">
      <c r="A36" s="37" t="s">
        <v>657</v>
      </c>
      <c r="B36" s="14">
        <v>1</v>
      </c>
      <c r="C36" s="5">
        <v>0.5</v>
      </c>
      <c r="D36" s="15">
        <v>0.5</v>
      </c>
      <c r="I36" s="5">
        <v>1245.96</v>
      </c>
      <c r="J36" s="12" t="s">
        <v>668</v>
      </c>
      <c r="L36" s="3" t="s">
        <v>661</v>
      </c>
    </row>
    <row r="37" spans="1:22" x14ac:dyDescent="0.2">
      <c r="A37" s="37" t="s">
        <v>423</v>
      </c>
      <c r="B37" s="14">
        <v>7</v>
      </c>
      <c r="C37" s="5">
        <v>28</v>
      </c>
      <c r="D37" s="15">
        <v>4</v>
      </c>
      <c r="I37" s="5">
        <v>59.99</v>
      </c>
      <c r="J37" s="12" t="s">
        <v>668</v>
      </c>
      <c r="L37" s="3" t="s">
        <v>662</v>
      </c>
    </row>
    <row r="38" spans="1:22" x14ac:dyDescent="0.2">
      <c r="A38" s="38" t="s">
        <v>428</v>
      </c>
      <c r="B38" s="14">
        <v>48</v>
      </c>
      <c r="C38" s="5">
        <v>240</v>
      </c>
      <c r="D38" s="15">
        <v>5</v>
      </c>
      <c r="I38" s="5">
        <v>800</v>
      </c>
      <c r="J38" s="9">
        <v>0</v>
      </c>
      <c r="L38" s="3" t="s">
        <v>664</v>
      </c>
    </row>
    <row r="39" spans="1:22" x14ac:dyDescent="0.2">
      <c r="A39" s="39" t="s">
        <v>424</v>
      </c>
      <c r="B39" s="16">
        <v>56</v>
      </c>
      <c r="C39" s="6">
        <v>268.5</v>
      </c>
      <c r="D39" s="17">
        <v>4.7946428571428568</v>
      </c>
      <c r="I39" s="6">
        <v>0</v>
      </c>
      <c r="J39" s="10">
        <f>GETPIVOTDATA("Transaction Count",$A$35,"Coupon","WELCOMEBACK")</f>
        <v>7</v>
      </c>
      <c r="L39" s="3" t="s">
        <v>679</v>
      </c>
    </row>
    <row r="40" spans="1:22" ht="5" customHeight="1" x14ac:dyDescent="0.2"/>
    <row r="41" spans="1:22" ht="32" customHeight="1" x14ac:dyDescent="0.2">
      <c r="A41" s="89" t="s">
        <v>660</v>
      </c>
      <c r="B41" s="90"/>
      <c r="C41" s="90"/>
      <c r="D41" s="91"/>
    </row>
    <row r="42" spans="1:22" ht="32" x14ac:dyDescent="0.2">
      <c r="A42" s="36" t="s">
        <v>426</v>
      </c>
      <c r="B42" s="69" t="s">
        <v>427</v>
      </c>
      <c r="C42" s="25" t="s">
        <v>425</v>
      </c>
      <c r="D42" s="26" t="s">
        <v>659</v>
      </c>
    </row>
    <row r="43" spans="1:22" x14ac:dyDescent="0.2">
      <c r="A43" s="37" t="s">
        <v>657</v>
      </c>
      <c r="B43" s="14">
        <v>1</v>
      </c>
      <c r="C43" s="5">
        <v>0.5</v>
      </c>
      <c r="D43" s="15">
        <v>0.5</v>
      </c>
    </row>
    <row r="44" spans="1:22" x14ac:dyDescent="0.2">
      <c r="A44" s="37" t="s">
        <v>423</v>
      </c>
      <c r="B44" s="14">
        <v>7</v>
      </c>
      <c r="C44" s="5">
        <v>28</v>
      </c>
      <c r="D44" s="15">
        <v>4</v>
      </c>
    </row>
    <row r="45" spans="1:22" x14ac:dyDescent="0.2">
      <c r="A45" s="38" t="s">
        <v>428</v>
      </c>
      <c r="B45" s="14">
        <v>48</v>
      </c>
      <c r="C45" s="5">
        <v>240</v>
      </c>
      <c r="D45" s="15">
        <v>5</v>
      </c>
    </row>
    <row r="46" spans="1:22" x14ac:dyDescent="0.2">
      <c r="A46" s="39" t="s">
        <v>424</v>
      </c>
      <c r="B46" s="16">
        <v>56</v>
      </c>
      <c r="C46" s="6">
        <v>268.5</v>
      </c>
      <c r="D46" s="17">
        <v>4.7946428571428568</v>
      </c>
    </row>
    <row r="47" spans="1:22" ht="6" customHeight="1" x14ac:dyDescent="0.2"/>
    <row r="48" spans="1:22" ht="28.75" customHeight="1" x14ac:dyDescent="0.2">
      <c r="A48" s="92" t="s">
        <v>2382</v>
      </c>
      <c r="B48" s="90"/>
      <c r="C48" s="90"/>
      <c r="D48" s="90"/>
      <c r="E48" s="90"/>
      <c r="F48" s="90"/>
      <c r="G48" s="90"/>
      <c r="H48" s="90"/>
      <c r="I48" s="90"/>
      <c r="J48" s="90"/>
      <c r="K48" s="93"/>
    </row>
    <row r="49" spans="1:11" ht="32" x14ac:dyDescent="0.2">
      <c r="A49" s="21" t="s">
        <v>670</v>
      </c>
      <c r="B49" s="22" t="s">
        <v>2371</v>
      </c>
      <c r="C49" s="22" t="s">
        <v>2370</v>
      </c>
      <c r="D49" s="22" t="s">
        <v>1804</v>
      </c>
      <c r="E49" s="22" t="s">
        <v>671</v>
      </c>
      <c r="F49" s="62" t="s">
        <v>672</v>
      </c>
      <c r="G49" s="82" t="s">
        <v>1805</v>
      </c>
      <c r="H49" s="82" t="s">
        <v>673</v>
      </c>
      <c r="I49" s="82" t="s">
        <v>1806</v>
      </c>
      <c r="J49" s="20" t="s">
        <v>2380</v>
      </c>
      <c r="K49" s="62" t="s">
        <v>2381</v>
      </c>
    </row>
    <row r="50" spans="1:11" x14ac:dyDescent="0.2">
      <c r="A50" s="66" t="s">
        <v>669</v>
      </c>
      <c r="B50" s="23">
        <f>J4</f>
        <v>2</v>
      </c>
      <c r="C50" s="23">
        <f>J13</f>
        <v>12</v>
      </c>
      <c r="D50" s="23">
        <f>J20</f>
        <v>3</v>
      </c>
      <c r="E50" s="23">
        <f>J29</f>
        <v>7</v>
      </c>
      <c r="F50" s="9">
        <f>J39</f>
        <v>7</v>
      </c>
      <c r="G50" s="43">
        <f t="shared" ref="G50:H53" si="0">D50/E50</f>
        <v>0.42857142857142855</v>
      </c>
      <c r="H50" s="43">
        <f t="shared" si="0"/>
        <v>1</v>
      </c>
      <c r="I50" s="83">
        <f>D50/F50</f>
        <v>0.42857142857142855</v>
      </c>
      <c r="J50" s="42">
        <f>C50/D50</f>
        <v>4</v>
      </c>
      <c r="K50" s="42">
        <f>B50/C50</f>
        <v>0.16666666666666666</v>
      </c>
    </row>
    <row r="51" spans="1:11" x14ac:dyDescent="0.2">
      <c r="A51" s="67" t="s">
        <v>674</v>
      </c>
      <c r="B51" s="19">
        <f>SUM(I3:I6)</f>
        <v>826.5</v>
      </c>
      <c r="C51" s="19">
        <f>I12+I14</f>
        <v>10255</v>
      </c>
      <c r="D51" s="19">
        <f>I19</f>
        <v>2500</v>
      </c>
      <c r="E51" s="19">
        <f>SUM(I27:I30)</f>
        <v>750</v>
      </c>
      <c r="F51" s="5">
        <f>SUM(I35:I39)</f>
        <v>2565.77</v>
      </c>
      <c r="G51" s="43">
        <f t="shared" si="0"/>
        <v>3.3333333333333335</v>
      </c>
      <c r="H51" s="43">
        <f t="shared" si="0"/>
        <v>0.2923099108649645</v>
      </c>
      <c r="I51" s="83">
        <f>D51/F51</f>
        <v>0.97436636954988176</v>
      </c>
      <c r="J51" s="43">
        <f>C51/D51</f>
        <v>4.1020000000000003</v>
      </c>
      <c r="K51" s="83">
        <f>B51/C51</f>
        <v>8.0594831789371033E-2</v>
      </c>
    </row>
    <row r="52" spans="1:11" x14ac:dyDescent="0.2">
      <c r="A52" s="67" t="s">
        <v>675</v>
      </c>
      <c r="B52" s="19">
        <f>GETPIVOTDATA("Total Amount",$A$3)</f>
        <v>202.5</v>
      </c>
      <c r="C52" s="19">
        <f>GETPIVOTDATA("Total Amount",$A$12)</f>
        <v>523</v>
      </c>
      <c r="D52" s="19">
        <f>GETPIVOTDATA("Total Amount",$A$19)</f>
        <v>643.5</v>
      </c>
      <c r="E52" s="19">
        <f>GETPIVOTDATA("Total Amount",$A$27)</f>
        <v>469.84000000000003</v>
      </c>
      <c r="F52" s="5">
        <f>GETPIVOTDATA("Total Amount",$A$35)</f>
        <v>268.5</v>
      </c>
      <c r="G52" s="40">
        <f t="shared" si="0"/>
        <v>1.3696151881491572</v>
      </c>
      <c r="H52" s="40">
        <f t="shared" si="0"/>
        <v>1.7498696461824954</v>
      </c>
      <c r="I52" s="84">
        <f>D52/F52</f>
        <v>2.3966480446927374</v>
      </c>
      <c r="J52" s="43">
        <f>C52/D52</f>
        <v>0.81274281274281279</v>
      </c>
      <c r="K52" s="43">
        <f>B52/C52</f>
        <v>0.38718929254302104</v>
      </c>
    </row>
    <row r="53" spans="1:11" x14ac:dyDescent="0.2">
      <c r="A53" s="68" t="s">
        <v>676</v>
      </c>
      <c r="B53" s="16">
        <f>GETPIVOTDATA("Transaction Count",$A$3)</f>
        <v>44</v>
      </c>
      <c r="C53" s="16">
        <f>GETPIVOTDATA("Transaction Count",$A$12)</f>
        <v>109</v>
      </c>
      <c r="D53" s="16">
        <f>GETPIVOTDATA("Transaction Count",$A$19)</f>
        <v>137</v>
      </c>
      <c r="E53" s="16">
        <f>GETPIVOTDATA("Transaction Count",$A$27)</f>
        <v>99</v>
      </c>
      <c r="F53" s="10">
        <f>GETPIVOTDATA("Transaction Count",$A$35)</f>
        <v>56</v>
      </c>
      <c r="G53" s="41">
        <f t="shared" si="0"/>
        <v>1.3838383838383839</v>
      </c>
      <c r="H53" s="41">
        <f t="shared" si="0"/>
        <v>1.7678571428571428</v>
      </c>
      <c r="I53" s="85">
        <f>D53/F53</f>
        <v>2.4464285714285716</v>
      </c>
      <c r="J53" s="86">
        <f>C53/D53</f>
        <v>0.79562043795620441</v>
      </c>
      <c r="K53" s="86">
        <f>B53/C53</f>
        <v>0.40366972477064222</v>
      </c>
    </row>
    <row r="54" spans="1:11" ht="8" customHeight="1" x14ac:dyDescent="0.2"/>
    <row r="55" spans="1:11" x14ac:dyDescent="0.2">
      <c r="A55" s="45" t="s">
        <v>1807</v>
      </c>
      <c r="B55" s="63">
        <f>B51/B53</f>
        <v>18.78409090909091</v>
      </c>
      <c r="C55" s="63">
        <f>C51/C53</f>
        <v>94.082568807339456</v>
      </c>
      <c r="D55" s="63">
        <f>D51/D53</f>
        <v>18.248175182481752</v>
      </c>
      <c r="E55" s="63">
        <f t="shared" ref="E55:F55" si="1">E51/E53</f>
        <v>7.5757575757575761</v>
      </c>
      <c r="F55" s="63">
        <f t="shared" si="1"/>
        <v>45.817321428571425</v>
      </c>
    </row>
  </sheetData>
  <mergeCells count="12">
    <mergeCell ref="A18:D18"/>
    <mergeCell ref="A26:D26"/>
    <mergeCell ref="A11:D11"/>
    <mergeCell ref="L11:V11"/>
    <mergeCell ref="A2:D2"/>
    <mergeCell ref="L2:V2"/>
    <mergeCell ref="L18:V18"/>
    <mergeCell ref="A41:D41"/>
    <mergeCell ref="A48:K48"/>
    <mergeCell ref="L26:V26"/>
    <mergeCell ref="L34:V34"/>
    <mergeCell ref="A34:D34"/>
  </mergeCells>
  <conditionalFormatting sqref="B55:F5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{DDDD9063-60F2-4B4B-B0B5-B03A13F08747}</x14:id>
        </ext>
      </extLst>
    </cfRule>
  </conditionalFormatting>
  <conditionalFormatting sqref="G50:K53">
    <cfRule type="cellIs" dxfId="2" priority="3" operator="lessThan">
      <formula>1</formula>
    </cfRule>
  </conditionalFormatting>
  <conditionalFormatting sqref="G51:K51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  <pageSetup orientation="landscape" horizontalDpi="200" verticalDpi="200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D9063-60F2-4B4B-B0B5-B03A13F087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B55:F55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B877-AE74-FE44-9421-B1818CCB7D26}">
  <dimension ref="A1:Q45"/>
  <sheetViews>
    <sheetView workbookViewId="0">
      <selection activeCell="E25" sqref="E25"/>
    </sheetView>
  </sheetViews>
  <sheetFormatPr baseColWidth="10" defaultRowHeight="15" x14ac:dyDescent="0.2"/>
  <cols>
    <col min="1" max="1" width="29.1640625" bestFit="1" customWidth="1"/>
    <col min="2" max="2" width="15.5" bestFit="1" customWidth="1"/>
    <col min="3" max="3" width="23.33203125" bestFit="1" customWidth="1"/>
    <col min="4" max="4" width="7.5" bestFit="1" customWidth="1"/>
    <col min="5" max="5" width="13" bestFit="1" customWidth="1"/>
    <col min="6" max="6" width="5.1640625" bestFit="1" customWidth="1"/>
    <col min="7" max="7" width="10.5" bestFit="1" customWidth="1"/>
    <col min="8" max="8" width="5.83203125" bestFit="1" customWidth="1"/>
    <col min="9" max="9" width="15.1640625" bestFit="1" customWidth="1"/>
    <col min="10" max="10" width="15.5" bestFit="1" customWidth="1"/>
    <col min="11" max="11" width="17.83203125" bestFit="1" customWidth="1"/>
    <col min="12" max="12" width="13.83203125" bestFit="1" customWidth="1"/>
    <col min="13" max="13" width="14.1640625" bestFit="1" customWidth="1"/>
    <col min="14" max="14" width="11.1640625" bestFit="1" customWidth="1"/>
    <col min="15" max="15" width="21.83203125" bestFit="1" customWidth="1"/>
    <col min="16" max="16" width="28.1640625" bestFit="1" customWidth="1"/>
    <col min="17" max="17" width="34.1640625" bestFit="1" customWidth="1"/>
  </cols>
  <sheetData>
    <row r="1" spans="1:17" x14ac:dyDescent="0.2">
      <c r="A1" s="73" t="s">
        <v>0</v>
      </c>
      <c r="B1" s="73" t="s">
        <v>1811</v>
      </c>
      <c r="C1" s="73" t="s">
        <v>2262</v>
      </c>
      <c r="D1" s="73" t="s">
        <v>4</v>
      </c>
      <c r="E1" s="73" t="s">
        <v>1813</v>
      </c>
      <c r="F1" s="73" t="s">
        <v>9</v>
      </c>
      <c r="G1" s="73" t="s">
        <v>1814</v>
      </c>
      <c r="H1" s="73" t="s">
        <v>1270</v>
      </c>
      <c r="I1" s="73" t="s">
        <v>1247</v>
      </c>
      <c r="J1" s="73" t="s">
        <v>1248</v>
      </c>
      <c r="K1" s="73" t="s">
        <v>1249</v>
      </c>
      <c r="L1" s="73" t="s">
        <v>1250</v>
      </c>
      <c r="M1" s="73" t="s">
        <v>1240</v>
      </c>
      <c r="N1" s="73" t="s">
        <v>1241</v>
      </c>
      <c r="O1" s="73" t="s">
        <v>1256</v>
      </c>
      <c r="P1" s="73" t="s">
        <v>2263</v>
      </c>
      <c r="Q1" s="73" t="s">
        <v>1815</v>
      </c>
    </row>
    <row r="2" spans="1:17" x14ac:dyDescent="0.2">
      <c r="A2" t="s">
        <v>2264</v>
      </c>
      <c r="B2" s="1">
        <v>45736.656840277778</v>
      </c>
      <c r="C2" s="1" t="b">
        <v>0</v>
      </c>
      <c r="D2">
        <v>5</v>
      </c>
      <c r="F2">
        <v>0.45</v>
      </c>
      <c r="G2" s="74">
        <v>0.09</v>
      </c>
      <c r="H2" t="b">
        <v>1</v>
      </c>
      <c r="I2" t="s">
        <v>2265</v>
      </c>
      <c r="J2" t="s">
        <v>2011</v>
      </c>
      <c r="K2" t="s">
        <v>1278</v>
      </c>
      <c r="L2">
        <v>64086</v>
      </c>
      <c r="M2" t="s">
        <v>1275</v>
      </c>
      <c r="N2" t="s">
        <v>1276</v>
      </c>
      <c r="P2" t="str">
        <f t="shared" ref="P2:P45" si="0">M2&amp;IF(N2="credit"," credit"," debit")&amp;IF(O2=""," (Keyed)",IF(O2="apple_pay"," (Apple Pay)", " (Android Pay)"))</f>
        <v>Visa credit (Keyed)</v>
      </c>
      <c r="Q2" t="s">
        <v>2266</v>
      </c>
    </row>
    <row r="3" spans="1:17" x14ac:dyDescent="0.2">
      <c r="A3" t="s">
        <v>2267</v>
      </c>
      <c r="B3" s="1">
        <v>45736.655763888892</v>
      </c>
      <c r="C3" s="1" t="b">
        <v>0</v>
      </c>
      <c r="D3">
        <v>4.5</v>
      </c>
      <c r="E3" t="s">
        <v>2268</v>
      </c>
      <c r="F3">
        <v>0.43</v>
      </c>
      <c r="G3" s="74">
        <v>9.555555555555556E-2</v>
      </c>
      <c r="H3" t="b">
        <v>0</v>
      </c>
      <c r="K3" t="s">
        <v>1278</v>
      </c>
      <c r="L3">
        <v>48823</v>
      </c>
      <c r="M3" t="s">
        <v>1331</v>
      </c>
      <c r="N3" t="s">
        <v>1276</v>
      </c>
      <c r="P3" t="str">
        <f t="shared" si="0"/>
        <v>American Express credit (Keyed)</v>
      </c>
      <c r="Q3" t="s">
        <v>2269</v>
      </c>
    </row>
    <row r="4" spans="1:17" x14ac:dyDescent="0.2">
      <c r="A4" t="s">
        <v>2270</v>
      </c>
      <c r="B4" s="1">
        <v>45736.647534722222</v>
      </c>
      <c r="C4" s="1" t="b">
        <v>0</v>
      </c>
      <c r="D4">
        <v>5</v>
      </c>
      <c r="F4">
        <v>0.45</v>
      </c>
      <c r="G4" s="74">
        <v>0.09</v>
      </c>
      <c r="H4" t="b">
        <v>0</v>
      </c>
      <c r="K4" t="s">
        <v>1278</v>
      </c>
      <c r="L4">
        <v>49504</v>
      </c>
      <c r="M4" t="s">
        <v>1284</v>
      </c>
      <c r="N4" t="s">
        <v>1307</v>
      </c>
      <c r="P4" t="str">
        <f t="shared" si="0"/>
        <v>MasterCard debit (Keyed)</v>
      </c>
      <c r="Q4" t="s">
        <v>2271</v>
      </c>
    </row>
    <row r="5" spans="1:17" x14ac:dyDescent="0.2">
      <c r="A5" t="s">
        <v>2272</v>
      </c>
      <c r="B5" s="1">
        <v>45736.566446759258</v>
      </c>
      <c r="C5" s="1" t="b">
        <v>0</v>
      </c>
      <c r="D5">
        <v>5</v>
      </c>
      <c r="F5">
        <v>0.45</v>
      </c>
      <c r="G5" s="74">
        <v>0.09</v>
      </c>
      <c r="H5" t="b">
        <v>0</v>
      </c>
      <c r="K5" t="s">
        <v>1278</v>
      </c>
      <c r="L5">
        <v>10312</v>
      </c>
      <c r="M5" t="s">
        <v>1284</v>
      </c>
      <c r="N5" t="s">
        <v>1276</v>
      </c>
      <c r="P5" t="str">
        <f t="shared" si="0"/>
        <v>MasterCard credit (Keyed)</v>
      </c>
      <c r="Q5" t="s">
        <v>2273</v>
      </c>
    </row>
    <row r="6" spans="1:17" x14ac:dyDescent="0.2">
      <c r="A6" t="s">
        <v>2274</v>
      </c>
      <c r="B6" s="1">
        <v>45736.497604166667</v>
      </c>
      <c r="C6" s="1" t="b">
        <v>0</v>
      </c>
      <c r="D6">
        <v>5</v>
      </c>
      <c r="F6">
        <v>0.45</v>
      </c>
      <c r="G6" s="74">
        <v>0.09</v>
      </c>
      <c r="H6" t="b">
        <v>0</v>
      </c>
      <c r="K6" t="s">
        <v>1278</v>
      </c>
      <c r="L6">
        <v>53074</v>
      </c>
      <c r="M6" t="s">
        <v>1284</v>
      </c>
      <c r="N6" t="s">
        <v>1276</v>
      </c>
      <c r="P6" t="str">
        <f t="shared" si="0"/>
        <v>MasterCard credit (Keyed)</v>
      </c>
      <c r="Q6" t="s">
        <v>2275</v>
      </c>
    </row>
    <row r="7" spans="1:17" x14ac:dyDescent="0.2">
      <c r="A7" t="s">
        <v>2276</v>
      </c>
      <c r="B7" s="1">
        <v>45736.401909722219</v>
      </c>
      <c r="C7" s="1" t="b">
        <v>0</v>
      </c>
      <c r="D7">
        <v>5</v>
      </c>
      <c r="F7">
        <v>0.45</v>
      </c>
      <c r="G7" s="74">
        <v>0.09</v>
      </c>
      <c r="H7" t="b">
        <v>0</v>
      </c>
      <c r="I7" t="s">
        <v>2277</v>
      </c>
      <c r="J7" t="s">
        <v>2278</v>
      </c>
      <c r="K7" t="s">
        <v>1278</v>
      </c>
      <c r="L7">
        <v>35235</v>
      </c>
      <c r="M7" t="s">
        <v>1275</v>
      </c>
      <c r="N7" t="s">
        <v>1276</v>
      </c>
      <c r="O7" t="s">
        <v>1351</v>
      </c>
      <c r="P7" t="str">
        <f t="shared" si="0"/>
        <v>Visa credit (Android Pay)</v>
      </c>
      <c r="Q7" t="s">
        <v>2279</v>
      </c>
    </row>
    <row r="8" spans="1:17" x14ac:dyDescent="0.2">
      <c r="A8" t="s">
        <v>2280</v>
      </c>
      <c r="B8" s="1">
        <v>45735.972372685188</v>
      </c>
      <c r="C8" s="1" t="b">
        <v>0</v>
      </c>
      <c r="D8">
        <v>5</v>
      </c>
      <c r="F8">
        <v>0.45</v>
      </c>
      <c r="G8" s="74">
        <v>0.09</v>
      </c>
      <c r="H8" t="b">
        <v>1</v>
      </c>
      <c r="K8" t="s">
        <v>1278</v>
      </c>
      <c r="L8">
        <v>10594</v>
      </c>
      <c r="M8" t="s">
        <v>1284</v>
      </c>
      <c r="N8" t="s">
        <v>1276</v>
      </c>
      <c r="P8" t="str">
        <f t="shared" si="0"/>
        <v>MasterCard credit (Keyed)</v>
      </c>
      <c r="Q8" t="s">
        <v>2281</v>
      </c>
    </row>
    <row r="9" spans="1:17" x14ac:dyDescent="0.2">
      <c r="A9" t="s">
        <v>2282</v>
      </c>
      <c r="B9" s="1">
        <v>45735.92728009259</v>
      </c>
      <c r="C9" s="1" t="b">
        <v>0</v>
      </c>
      <c r="D9">
        <v>5</v>
      </c>
      <c r="F9">
        <v>0.45</v>
      </c>
      <c r="G9" s="74">
        <v>0.09</v>
      </c>
      <c r="H9" t="b">
        <v>0</v>
      </c>
      <c r="I9" t="s">
        <v>2283</v>
      </c>
      <c r="J9" t="s">
        <v>1571</v>
      </c>
      <c r="K9" t="s">
        <v>1278</v>
      </c>
      <c r="L9" t="s">
        <v>2284</v>
      </c>
      <c r="M9" t="s">
        <v>1275</v>
      </c>
      <c r="N9" t="s">
        <v>1307</v>
      </c>
      <c r="O9" t="s">
        <v>1299</v>
      </c>
      <c r="P9" t="str">
        <f t="shared" si="0"/>
        <v>Visa debit (Apple Pay)</v>
      </c>
      <c r="Q9" t="s">
        <v>2285</v>
      </c>
    </row>
    <row r="10" spans="1:17" x14ac:dyDescent="0.2">
      <c r="A10" t="s">
        <v>2286</v>
      </c>
      <c r="B10" s="1">
        <v>45735.904861111114</v>
      </c>
      <c r="C10" s="1" t="b">
        <v>0</v>
      </c>
      <c r="D10">
        <v>5</v>
      </c>
      <c r="F10">
        <v>0.45</v>
      </c>
      <c r="G10" s="74">
        <v>0.09</v>
      </c>
      <c r="H10" t="b">
        <v>1</v>
      </c>
      <c r="K10" t="s">
        <v>1278</v>
      </c>
      <c r="L10">
        <v>48823</v>
      </c>
      <c r="M10" t="s">
        <v>1331</v>
      </c>
      <c r="N10" t="s">
        <v>1276</v>
      </c>
      <c r="P10" t="str">
        <f t="shared" si="0"/>
        <v>American Express credit (Keyed)</v>
      </c>
      <c r="Q10" t="s">
        <v>2287</v>
      </c>
    </row>
    <row r="11" spans="1:17" x14ac:dyDescent="0.2">
      <c r="A11" t="s">
        <v>2288</v>
      </c>
      <c r="B11" s="1">
        <v>45735.873842592591</v>
      </c>
      <c r="C11" s="1" t="b">
        <v>0</v>
      </c>
      <c r="D11">
        <v>4</v>
      </c>
      <c r="E11" t="s">
        <v>2289</v>
      </c>
      <c r="F11">
        <v>0.42</v>
      </c>
      <c r="G11" s="74">
        <v>0.105</v>
      </c>
      <c r="H11" t="b">
        <v>1</v>
      </c>
      <c r="I11" t="s">
        <v>2290</v>
      </c>
      <c r="J11" t="s">
        <v>1664</v>
      </c>
      <c r="K11" t="s">
        <v>1278</v>
      </c>
      <c r="L11" t="s">
        <v>2291</v>
      </c>
      <c r="M11" t="s">
        <v>1331</v>
      </c>
      <c r="N11" t="s">
        <v>1276</v>
      </c>
      <c r="P11" t="str">
        <f t="shared" si="0"/>
        <v>American Express credit (Keyed)</v>
      </c>
      <c r="Q11" t="s">
        <v>2292</v>
      </c>
    </row>
    <row r="12" spans="1:17" x14ac:dyDescent="0.2">
      <c r="A12" t="s">
        <v>2293</v>
      </c>
      <c r="B12" s="1">
        <v>45735.809641203705</v>
      </c>
      <c r="C12" s="1" t="b">
        <v>0</v>
      </c>
      <c r="D12">
        <v>5</v>
      </c>
      <c r="F12">
        <v>0.45</v>
      </c>
      <c r="G12" s="74">
        <v>0.09</v>
      </c>
      <c r="H12" t="b">
        <v>1</v>
      </c>
      <c r="K12" t="s">
        <v>1278</v>
      </c>
      <c r="L12">
        <v>44408</v>
      </c>
      <c r="M12" t="s">
        <v>1275</v>
      </c>
      <c r="N12" t="s">
        <v>1276</v>
      </c>
      <c r="P12" t="str">
        <f t="shared" si="0"/>
        <v>Visa credit (Keyed)</v>
      </c>
      <c r="Q12" t="s">
        <v>2294</v>
      </c>
    </row>
    <row r="13" spans="1:17" x14ac:dyDescent="0.2">
      <c r="A13" t="s">
        <v>2295</v>
      </c>
      <c r="B13" s="1">
        <v>45735.578159722223</v>
      </c>
      <c r="C13" s="1" t="b">
        <v>0</v>
      </c>
      <c r="D13">
        <v>5</v>
      </c>
      <c r="F13">
        <v>0.45</v>
      </c>
      <c r="G13" s="74">
        <v>0.09</v>
      </c>
      <c r="H13" t="b">
        <v>1</v>
      </c>
      <c r="I13" t="s">
        <v>2296</v>
      </c>
      <c r="J13" t="s">
        <v>1401</v>
      </c>
      <c r="K13" t="s">
        <v>1278</v>
      </c>
      <c r="L13">
        <v>48230</v>
      </c>
      <c r="M13" t="s">
        <v>1275</v>
      </c>
      <c r="N13" t="s">
        <v>1276</v>
      </c>
      <c r="P13" t="str">
        <f t="shared" si="0"/>
        <v>Visa credit (Keyed)</v>
      </c>
      <c r="Q13" t="s">
        <v>2297</v>
      </c>
    </row>
    <row r="14" spans="1:17" x14ac:dyDescent="0.2">
      <c r="A14" t="s">
        <v>2298</v>
      </c>
      <c r="B14" s="1">
        <v>45735.186076388891</v>
      </c>
      <c r="C14" s="1" t="b">
        <v>0</v>
      </c>
      <c r="D14">
        <v>4.5</v>
      </c>
      <c r="E14" t="s">
        <v>2268</v>
      </c>
      <c r="F14">
        <v>0.43</v>
      </c>
      <c r="G14" s="74">
        <v>9.555555555555556E-2</v>
      </c>
      <c r="H14" t="b">
        <v>0</v>
      </c>
      <c r="I14" t="s">
        <v>1835</v>
      </c>
      <c r="J14" t="s">
        <v>1401</v>
      </c>
      <c r="K14" t="s">
        <v>1278</v>
      </c>
      <c r="L14">
        <v>48823</v>
      </c>
      <c r="M14" t="s">
        <v>1275</v>
      </c>
      <c r="N14" t="s">
        <v>1276</v>
      </c>
      <c r="O14" t="s">
        <v>1299</v>
      </c>
      <c r="P14" t="str">
        <f t="shared" si="0"/>
        <v>Visa credit (Apple Pay)</v>
      </c>
      <c r="Q14" t="s">
        <v>2299</v>
      </c>
    </row>
    <row r="15" spans="1:17" x14ac:dyDescent="0.2">
      <c r="A15" t="s">
        <v>2300</v>
      </c>
      <c r="B15" s="1">
        <v>45735.117314814815</v>
      </c>
      <c r="C15" s="1" t="b">
        <v>0</v>
      </c>
      <c r="D15">
        <v>5</v>
      </c>
      <c r="F15">
        <v>0.45</v>
      </c>
      <c r="G15" s="74">
        <v>0.09</v>
      </c>
      <c r="H15" t="b">
        <v>0</v>
      </c>
      <c r="I15" t="s">
        <v>2301</v>
      </c>
      <c r="J15" t="s">
        <v>1362</v>
      </c>
      <c r="K15" t="s">
        <v>1278</v>
      </c>
      <c r="L15">
        <v>93710</v>
      </c>
      <c r="M15" t="s">
        <v>1275</v>
      </c>
      <c r="N15" t="s">
        <v>1307</v>
      </c>
      <c r="O15" t="s">
        <v>1299</v>
      </c>
      <c r="P15" t="str">
        <f t="shared" si="0"/>
        <v>Visa debit (Apple Pay)</v>
      </c>
      <c r="Q15" t="s">
        <v>2302</v>
      </c>
    </row>
    <row r="16" spans="1:17" x14ac:dyDescent="0.2">
      <c r="A16" t="s">
        <v>2303</v>
      </c>
      <c r="B16" s="1">
        <v>45735.08284722222</v>
      </c>
      <c r="C16" s="1" t="b">
        <v>0</v>
      </c>
      <c r="D16">
        <v>5</v>
      </c>
      <c r="F16">
        <v>0.45</v>
      </c>
      <c r="G16" s="74">
        <v>0.09</v>
      </c>
      <c r="H16" t="b">
        <v>1</v>
      </c>
      <c r="K16" t="s">
        <v>1278</v>
      </c>
      <c r="L16">
        <v>70817</v>
      </c>
      <c r="M16" t="s">
        <v>1275</v>
      </c>
      <c r="N16" t="s">
        <v>1276</v>
      </c>
      <c r="P16" t="str">
        <f t="shared" si="0"/>
        <v>Visa credit (Keyed)</v>
      </c>
      <c r="Q16" t="s">
        <v>2304</v>
      </c>
    </row>
    <row r="17" spans="1:17" x14ac:dyDescent="0.2">
      <c r="A17" t="s">
        <v>2305</v>
      </c>
      <c r="B17" s="1">
        <v>45735.072893518518</v>
      </c>
      <c r="C17" s="1" t="b">
        <v>0</v>
      </c>
      <c r="D17">
        <v>5</v>
      </c>
      <c r="F17">
        <v>0.45</v>
      </c>
      <c r="G17" s="74">
        <v>0.09</v>
      </c>
      <c r="H17" t="b">
        <v>0</v>
      </c>
      <c r="I17" t="s">
        <v>1854</v>
      </c>
      <c r="J17" t="s">
        <v>1474</v>
      </c>
      <c r="K17" t="s">
        <v>1278</v>
      </c>
      <c r="L17">
        <v>53406</v>
      </c>
      <c r="M17" t="s">
        <v>1275</v>
      </c>
      <c r="N17" t="s">
        <v>1276</v>
      </c>
      <c r="O17" t="s">
        <v>1299</v>
      </c>
      <c r="P17" t="str">
        <f t="shared" si="0"/>
        <v>Visa credit (Apple Pay)</v>
      </c>
      <c r="Q17" t="s">
        <v>2306</v>
      </c>
    </row>
    <row r="18" spans="1:17" x14ac:dyDescent="0.2">
      <c r="A18" t="s">
        <v>2307</v>
      </c>
      <c r="B18" s="1">
        <v>45735.029467592591</v>
      </c>
      <c r="C18" s="1" t="b">
        <v>0</v>
      </c>
      <c r="D18">
        <v>5</v>
      </c>
      <c r="F18">
        <v>0.45</v>
      </c>
      <c r="G18" s="74">
        <v>0.09</v>
      </c>
      <c r="H18" t="b">
        <v>1</v>
      </c>
      <c r="K18" t="s">
        <v>1278</v>
      </c>
      <c r="L18">
        <v>46628</v>
      </c>
      <c r="M18" t="s">
        <v>1331</v>
      </c>
      <c r="N18" t="s">
        <v>1276</v>
      </c>
      <c r="P18" t="str">
        <f t="shared" si="0"/>
        <v>American Express credit (Keyed)</v>
      </c>
      <c r="Q18" t="s">
        <v>2308</v>
      </c>
    </row>
    <row r="19" spans="1:17" x14ac:dyDescent="0.2">
      <c r="A19" t="s">
        <v>2309</v>
      </c>
      <c r="B19" s="1">
        <v>45734.966203703705</v>
      </c>
      <c r="C19" s="1" t="b">
        <v>0</v>
      </c>
      <c r="D19">
        <v>5</v>
      </c>
      <c r="F19">
        <v>0.45</v>
      </c>
      <c r="G19" s="74">
        <v>0.09</v>
      </c>
      <c r="H19" t="b">
        <v>0</v>
      </c>
      <c r="I19" t="s">
        <v>2310</v>
      </c>
      <c r="J19" t="s">
        <v>2311</v>
      </c>
      <c r="K19" t="s">
        <v>1278</v>
      </c>
      <c r="L19">
        <v>67002</v>
      </c>
      <c r="M19" t="s">
        <v>1275</v>
      </c>
      <c r="N19" t="s">
        <v>1307</v>
      </c>
      <c r="O19" t="s">
        <v>1351</v>
      </c>
      <c r="P19" t="str">
        <f t="shared" si="0"/>
        <v>Visa debit (Android Pay)</v>
      </c>
      <c r="Q19" t="s">
        <v>2312</v>
      </c>
    </row>
    <row r="20" spans="1:17" x14ac:dyDescent="0.2">
      <c r="A20" t="s">
        <v>2313</v>
      </c>
      <c r="B20" s="1">
        <v>45734.950381944444</v>
      </c>
      <c r="C20" s="1" t="b">
        <v>0</v>
      </c>
      <c r="D20">
        <v>5</v>
      </c>
      <c r="F20">
        <v>0.45</v>
      </c>
      <c r="G20" s="74">
        <v>0.09</v>
      </c>
      <c r="H20" t="b">
        <v>1</v>
      </c>
      <c r="K20" t="s">
        <v>1278</v>
      </c>
      <c r="L20">
        <v>60126</v>
      </c>
      <c r="M20" t="s">
        <v>1275</v>
      </c>
      <c r="N20" t="s">
        <v>1276</v>
      </c>
      <c r="P20" t="str">
        <f t="shared" si="0"/>
        <v>Visa credit (Keyed)</v>
      </c>
      <c r="Q20" t="s">
        <v>2314</v>
      </c>
    </row>
    <row r="21" spans="1:17" x14ac:dyDescent="0.2">
      <c r="A21" t="s">
        <v>2315</v>
      </c>
      <c r="B21" s="1">
        <v>45734.889340277776</v>
      </c>
      <c r="C21" s="1" t="b">
        <v>0</v>
      </c>
      <c r="D21">
        <v>5</v>
      </c>
      <c r="F21">
        <v>0.45</v>
      </c>
      <c r="G21" s="74">
        <v>0.09</v>
      </c>
      <c r="H21" t="b">
        <v>0</v>
      </c>
      <c r="I21" t="s">
        <v>1943</v>
      </c>
      <c r="J21" t="s">
        <v>1338</v>
      </c>
      <c r="K21" t="s">
        <v>1278</v>
      </c>
      <c r="L21">
        <v>77345</v>
      </c>
      <c r="M21" t="s">
        <v>1284</v>
      </c>
      <c r="N21" t="s">
        <v>1276</v>
      </c>
      <c r="O21" t="s">
        <v>1299</v>
      </c>
      <c r="P21" t="str">
        <f t="shared" si="0"/>
        <v>MasterCard credit (Apple Pay)</v>
      </c>
      <c r="Q21" t="s">
        <v>2316</v>
      </c>
    </row>
    <row r="22" spans="1:17" x14ac:dyDescent="0.2">
      <c r="A22" t="s">
        <v>2317</v>
      </c>
      <c r="B22" s="1">
        <v>45734.799756944441</v>
      </c>
      <c r="C22" s="1" t="b">
        <v>0</v>
      </c>
      <c r="D22">
        <v>5</v>
      </c>
      <c r="F22">
        <v>0.45</v>
      </c>
      <c r="G22" s="74">
        <v>0.09</v>
      </c>
      <c r="H22" t="b">
        <v>0</v>
      </c>
      <c r="K22" t="s">
        <v>1278</v>
      </c>
      <c r="L22">
        <v>91942</v>
      </c>
      <c r="M22" t="s">
        <v>1284</v>
      </c>
      <c r="N22" t="s">
        <v>1276</v>
      </c>
      <c r="P22" t="str">
        <f t="shared" si="0"/>
        <v>MasterCard credit (Keyed)</v>
      </c>
      <c r="Q22" t="s">
        <v>2318</v>
      </c>
    </row>
    <row r="23" spans="1:17" x14ac:dyDescent="0.2">
      <c r="A23" t="s">
        <v>2319</v>
      </c>
      <c r="B23" s="1">
        <v>45734.797094907408</v>
      </c>
      <c r="C23" s="1" t="b">
        <v>0</v>
      </c>
      <c r="D23">
        <v>5</v>
      </c>
      <c r="F23">
        <v>0.45</v>
      </c>
      <c r="G23" s="74">
        <v>0.09</v>
      </c>
      <c r="H23" t="b">
        <v>0</v>
      </c>
      <c r="K23" t="s">
        <v>1278</v>
      </c>
      <c r="L23">
        <v>54022</v>
      </c>
      <c r="M23" t="s">
        <v>1284</v>
      </c>
      <c r="N23" t="s">
        <v>1276</v>
      </c>
      <c r="P23" t="str">
        <f t="shared" si="0"/>
        <v>MasterCard credit (Keyed)</v>
      </c>
      <c r="Q23" t="s">
        <v>2320</v>
      </c>
    </row>
    <row r="24" spans="1:17" x14ac:dyDescent="0.2">
      <c r="A24" t="s">
        <v>2321</v>
      </c>
      <c r="B24" s="1">
        <v>45734.682222222225</v>
      </c>
      <c r="C24" s="1" t="b">
        <v>0</v>
      </c>
      <c r="D24">
        <v>5</v>
      </c>
      <c r="F24">
        <v>0.45</v>
      </c>
      <c r="G24" s="74">
        <v>0.09</v>
      </c>
      <c r="H24" t="b">
        <v>1</v>
      </c>
      <c r="I24" t="s">
        <v>2322</v>
      </c>
      <c r="J24" t="s">
        <v>1571</v>
      </c>
      <c r="K24" t="s">
        <v>1278</v>
      </c>
      <c r="L24">
        <v>60601</v>
      </c>
      <c r="M24" t="s">
        <v>1275</v>
      </c>
      <c r="N24" t="s">
        <v>1276</v>
      </c>
      <c r="P24" t="str">
        <f t="shared" si="0"/>
        <v>Visa credit (Keyed)</v>
      </c>
      <c r="Q24" t="s">
        <v>2323</v>
      </c>
    </row>
    <row r="25" spans="1:17" x14ac:dyDescent="0.2">
      <c r="A25" t="s">
        <v>2324</v>
      </c>
      <c r="B25" s="1">
        <v>45734.626111111109</v>
      </c>
      <c r="C25" s="1" t="b">
        <v>0</v>
      </c>
      <c r="D25">
        <v>5</v>
      </c>
      <c r="F25">
        <v>0.45</v>
      </c>
      <c r="G25" s="74">
        <v>0.09</v>
      </c>
      <c r="H25" t="b">
        <v>1</v>
      </c>
      <c r="K25" t="s">
        <v>1278</v>
      </c>
      <c r="L25" t="s">
        <v>2325</v>
      </c>
      <c r="M25" t="s">
        <v>1331</v>
      </c>
      <c r="N25" t="s">
        <v>1276</v>
      </c>
      <c r="P25" t="str">
        <f t="shared" si="0"/>
        <v>American Express credit (Keyed)</v>
      </c>
      <c r="Q25" t="s">
        <v>2326</v>
      </c>
    </row>
    <row r="26" spans="1:17" x14ac:dyDescent="0.2">
      <c r="A26" t="s">
        <v>2327</v>
      </c>
      <c r="B26" s="1">
        <v>45733.981863425928</v>
      </c>
      <c r="C26" s="1" t="b">
        <v>0</v>
      </c>
      <c r="D26">
        <v>4</v>
      </c>
      <c r="E26" t="s">
        <v>423</v>
      </c>
      <c r="F26">
        <v>0.42</v>
      </c>
      <c r="G26" s="74">
        <v>0.105</v>
      </c>
      <c r="H26" t="b">
        <v>0</v>
      </c>
      <c r="I26" t="s">
        <v>1961</v>
      </c>
      <c r="J26" t="s">
        <v>1962</v>
      </c>
      <c r="K26" t="s">
        <v>1362</v>
      </c>
      <c r="L26" t="s">
        <v>1963</v>
      </c>
      <c r="M26" t="s">
        <v>1284</v>
      </c>
      <c r="N26" t="s">
        <v>1276</v>
      </c>
      <c r="O26" t="s">
        <v>1299</v>
      </c>
      <c r="P26" t="str">
        <f t="shared" si="0"/>
        <v>MasterCard credit (Apple Pay)</v>
      </c>
      <c r="Q26" t="s">
        <v>2328</v>
      </c>
    </row>
    <row r="27" spans="1:17" x14ac:dyDescent="0.2">
      <c r="A27" t="s">
        <v>2329</v>
      </c>
      <c r="B27" s="1">
        <v>45733.926817129628</v>
      </c>
      <c r="C27" s="1" t="b">
        <v>0</v>
      </c>
      <c r="D27">
        <v>5</v>
      </c>
      <c r="F27">
        <v>0.45</v>
      </c>
      <c r="G27" s="74">
        <v>0.09</v>
      </c>
      <c r="H27" t="b">
        <v>1</v>
      </c>
      <c r="I27" t="s">
        <v>1441</v>
      </c>
      <c r="J27" t="s">
        <v>1430</v>
      </c>
      <c r="K27" t="s">
        <v>1278</v>
      </c>
      <c r="L27">
        <v>19311</v>
      </c>
      <c r="M27" t="s">
        <v>1275</v>
      </c>
      <c r="N27" t="s">
        <v>1276</v>
      </c>
      <c r="P27" t="str">
        <f t="shared" si="0"/>
        <v>Visa credit (Keyed)</v>
      </c>
      <c r="Q27" t="s">
        <v>2330</v>
      </c>
    </row>
    <row r="28" spans="1:17" x14ac:dyDescent="0.2">
      <c r="A28" t="s">
        <v>2331</v>
      </c>
      <c r="B28" s="1">
        <v>45733.859386574077</v>
      </c>
      <c r="C28" s="1" t="b">
        <v>0</v>
      </c>
      <c r="D28">
        <v>5</v>
      </c>
      <c r="F28">
        <v>0.45</v>
      </c>
      <c r="G28" s="74">
        <v>0.09</v>
      </c>
      <c r="H28" t="b">
        <v>0</v>
      </c>
      <c r="I28" t="s">
        <v>2322</v>
      </c>
      <c r="J28" t="s">
        <v>1571</v>
      </c>
      <c r="K28" t="s">
        <v>1278</v>
      </c>
      <c r="L28">
        <v>60605</v>
      </c>
      <c r="M28" t="s">
        <v>1284</v>
      </c>
      <c r="N28" t="s">
        <v>1276</v>
      </c>
      <c r="O28" t="s">
        <v>1351</v>
      </c>
      <c r="P28" t="str">
        <f t="shared" si="0"/>
        <v>MasterCard credit (Android Pay)</v>
      </c>
      <c r="Q28" t="s">
        <v>2332</v>
      </c>
    </row>
    <row r="29" spans="1:17" x14ac:dyDescent="0.2">
      <c r="A29" t="s">
        <v>2333</v>
      </c>
      <c r="B29" s="1">
        <v>45733.71502314815</v>
      </c>
      <c r="C29" s="1" t="b">
        <v>0</v>
      </c>
      <c r="D29">
        <v>5</v>
      </c>
      <c r="F29">
        <v>0.45</v>
      </c>
      <c r="G29" s="74">
        <v>0.09</v>
      </c>
      <c r="H29" t="b">
        <v>1</v>
      </c>
      <c r="K29" t="s">
        <v>1278</v>
      </c>
      <c r="L29">
        <v>18642</v>
      </c>
      <c r="M29" t="s">
        <v>1275</v>
      </c>
      <c r="N29" t="s">
        <v>1307</v>
      </c>
      <c r="P29" t="str">
        <f t="shared" si="0"/>
        <v>Visa debit (Keyed)</v>
      </c>
      <c r="Q29" t="s">
        <v>2334</v>
      </c>
    </row>
    <row r="30" spans="1:17" x14ac:dyDescent="0.2">
      <c r="A30" t="s">
        <v>2335</v>
      </c>
      <c r="B30" s="1">
        <v>45733.662141203706</v>
      </c>
      <c r="C30" s="1" t="b">
        <v>0</v>
      </c>
      <c r="D30">
        <v>5</v>
      </c>
      <c r="F30">
        <v>0.45</v>
      </c>
      <c r="G30" s="74">
        <v>0.09</v>
      </c>
      <c r="H30" t="b">
        <v>1</v>
      </c>
      <c r="K30" t="s">
        <v>1278</v>
      </c>
      <c r="L30" t="s">
        <v>2063</v>
      </c>
      <c r="M30" t="s">
        <v>1275</v>
      </c>
      <c r="N30" t="s">
        <v>1307</v>
      </c>
      <c r="P30" t="str">
        <f t="shared" si="0"/>
        <v>Visa debit (Keyed)</v>
      </c>
      <c r="Q30" t="s">
        <v>2336</v>
      </c>
    </row>
    <row r="31" spans="1:17" x14ac:dyDescent="0.2">
      <c r="A31" t="s">
        <v>2337</v>
      </c>
      <c r="B31" s="1">
        <v>45733.633483796293</v>
      </c>
      <c r="C31" s="1" t="b">
        <v>0</v>
      </c>
      <c r="D31">
        <v>5</v>
      </c>
      <c r="F31">
        <v>0.45</v>
      </c>
      <c r="G31" s="74">
        <v>0.09</v>
      </c>
      <c r="H31" t="b">
        <v>1</v>
      </c>
      <c r="K31" t="s">
        <v>1278</v>
      </c>
      <c r="L31">
        <v>19382</v>
      </c>
      <c r="M31" t="s">
        <v>1331</v>
      </c>
      <c r="N31" t="s">
        <v>1276</v>
      </c>
      <c r="P31" t="str">
        <f t="shared" si="0"/>
        <v>American Express credit (Keyed)</v>
      </c>
      <c r="Q31" t="s">
        <v>2338</v>
      </c>
    </row>
    <row r="32" spans="1:17" x14ac:dyDescent="0.2">
      <c r="A32" t="s">
        <v>2339</v>
      </c>
      <c r="B32" s="1">
        <v>45733.618078703701</v>
      </c>
      <c r="C32" s="1" t="b">
        <v>0</v>
      </c>
      <c r="D32">
        <v>5</v>
      </c>
      <c r="F32">
        <v>0.45</v>
      </c>
      <c r="G32" s="74">
        <v>0.09</v>
      </c>
      <c r="H32" t="b">
        <v>0</v>
      </c>
      <c r="K32" t="s">
        <v>1362</v>
      </c>
      <c r="L32" t="s">
        <v>1487</v>
      </c>
      <c r="M32" t="s">
        <v>1275</v>
      </c>
      <c r="N32" t="s">
        <v>1276</v>
      </c>
      <c r="P32" t="str">
        <f t="shared" si="0"/>
        <v>Visa credit (Keyed)</v>
      </c>
      <c r="Q32" t="s">
        <v>2340</v>
      </c>
    </row>
    <row r="33" spans="1:17" x14ac:dyDescent="0.2">
      <c r="A33" t="s">
        <v>2341</v>
      </c>
      <c r="B33" s="1">
        <v>45733.587314814817</v>
      </c>
      <c r="C33" s="1" t="b">
        <v>0</v>
      </c>
      <c r="D33">
        <v>4</v>
      </c>
      <c r="E33" t="s">
        <v>423</v>
      </c>
      <c r="F33">
        <v>0.42</v>
      </c>
      <c r="G33" s="74">
        <v>0.105</v>
      </c>
      <c r="H33" t="b">
        <v>1</v>
      </c>
      <c r="I33" t="s">
        <v>2068</v>
      </c>
      <c r="J33" t="s">
        <v>1304</v>
      </c>
      <c r="K33" t="s">
        <v>1278</v>
      </c>
      <c r="L33">
        <v>27613</v>
      </c>
      <c r="M33" t="s">
        <v>1331</v>
      </c>
      <c r="N33" t="s">
        <v>1276</v>
      </c>
      <c r="P33" t="str">
        <f t="shared" si="0"/>
        <v>American Express credit (Keyed)</v>
      </c>
      <c r="Q33" t="s">
        <v>2342</v>
      </c>
    </row>
    <row r="34" spans="1:17" x14ac:dyDescent="0.2">
      <c r="A34" t="s">
        <v>2343</v>
      </c>
      <c r="B34" s="1">
        <v>45733.420578703706</v>
      </c>
      <c r="C34" s="1" t="b">
        <v>1</v>
      </c>
      <c r="D34">
        <v>5</v>
      </c>
      <c r="F34">
        <v>0.45</v>
      </c>
      <c r="G34" s="74">
        <v>0.09</v>
      </c>
      <c r="H34" t="b">
        <v>0</v>
      </c>
      <c r="I34" t="s">
        <v>1504</v>
      </c>
      <c r="J34" t="s">
        <v>1505</v>
      </c>
      <c r="K34" t="s">
        <v>1278</v>
      </c>
      <c r="L34" t="s">
        <v>1506</v>
      </c>
      <c r="M34" t="s">
        <v>1284</v>
      </c>
      <c r="N34" t="s">
        <v>1276</v>
      </c>
      <c r="O34" t="s">
        <v>1299</v>
      </c>
      <c r="P34" t="str">
        <f t="shared" si="0"/>
        <v>MasterCard credit (Apple Pay)</v>
      </c>
      <c r="Q34" t="s">
        <v>2344</v>
      </c>
    </row>
    <row r="35" spans="1:17" x14ac:dyDescent="0.2">
      <c r="A35" t="s">
        <v>2345</v>
      </c>
      <c r="B35" s="1">
        <v>45733.368078703701</v>
      </c>
      <c r="C35" s="1" t="b">
        <v>1</v>
      </c>
      <c r="D35">
        <v>5</v>
      </c>
      <c r="F35">
        <v>0.45</v>
      </c>
      <c r="G35" s="74">
        <v>0.09</v>
      </c>
      <c r="H35" t="b">
        <v>0</v>
      </c>
      <c r="K35" t="s">
        <v>1278</v>
      </c>
      <c r="L35">
        <v>29681</v>
      </c>
      <c r="M35" t="s">
        <v>1275</v>
      </c>
      <c r="N35" t="s">
        <v>1307</v>
      </c>
      <c r="P35" t="str">
        <f t="shared" si="0"/>
        <v>Visa debit (Keyed)</v>
      </c>
      <c r="Q35" t="s">
        <v>2346</v>
      </c>
    </row>
    <row r="36" spans="1:17" x14ac:dyDescent="0.2">
      <c r="A36" t="s">
        <v>2347</v>
      </c>
      <c r="B36" s="1">
        <v>45733.075219907405</v>
      </c>
      <c r="C36" s="1" t="b">
        <v>1</v>
      </c>
      <c r="D36">
        <v>5</v>
      </c>
      <c r="F36">
        <v>0.45</v>
      </c>
      <c r="G36" s="74">
        <v>0.09</v>
      </c>
      <c r="H36" t="b">
        <v>0</v>
      </c>
      <c r="I36" t="s">
        <v>1723</v>
      </c>
      <c r="J36" t="s">
        <v>1670</v>
      </c>
      <c r="K36" t="s">
        <v>1278</v>
      </c>
      <c r="L36">
        <v>55902</v>
      </c>
      <c r="M36" t="s">
        <v>1331</v>
      </c>
      <c r="N36" t="s">
        <v>1276</v>
      </c>
      <c r="O36" t="s">
        <v>1299</v>
      </c>
      <c r="P36" t="str">
        <f t="shared" si="0"/>
        <v>American Express credit (Apple Pay)</v>
      </c>
      <c r="Q36" t="s">
        <v>2348</v>
      </c>
    </row>
    <row r="37" spans="1:17" x14ac:dyDescent="0.2">
      <c r="A37" t="s">
        <v>2349</v>
      </c>
      <c r="B37" s="1">
        <v>45733.048854166664</v>
      </c>
      <c r="C37" s="1" t="b">
        <v>1</v>
      </c>
      <c r="D37">
        <v>5</v>
      </c>
      <c r="F37">
        <v>0.45</v>
      </c>
      <c r="G37" s="74">
        <v>0.09</v>
      </c>
      <c r="H37" t="b">
        <v>0</v>
      </c>
      <c r="I37" t="s">
        <v>2350</v>
      </c>
      <c r="J37" t="s">
        <v>1356</v>
      </c>
      <c r="K37" t="s">
        <v>1278</v>
      </c>
      <c r="L37">
        <v>45440</v>
      </c>
      <c r="M37" t="s">
        <v>1275</v>
      </c>
      <c r="N37" t="s">
        <v>1307</v>
      </c>
      <c r="O37" t="s">
        <v>1299</v>
      </c>
      <c r="P37" t="str">
        <f t="shared" si="0"/>
        <v>Visa debit (Apple Pay)</v>
      </c>
      <c r="Q37" t="s">
        <v>2351</v>
      </c>
    </row>
    <row r="38" spans="1:17" x14ac:dyDescent="0.2">
      <c r="A38" t="s">
        <v>2352</v>
      </c>
      <c r="B38" s="1">
        <v>45733.028263888889</v>
      </c>
      <c r="C38" s="1" t="b">
        <v>1</v>
      </c>
      <c r="D38">
        <v>5</v>
      </c>
      <c r="F38">
        <v>0.45</v>
      </c>
      <c r="G38" s="74">
        <v>0.09</v>
      </c>
      <c r="H38" t="b">
        <v>1</v>
      </c>
      <c r="K38" t="s">
        <v>1278</v>
      </c>
      <c r="L38">
        <v>48015</v>
      </c>
      <c r="M38" t="s">
        <v>1284</v>
      </c>
      <c r="N38" t="s">
        <v>1307</v>
      </c>
      <c r="P38" t="str">
        <f t="shared" si="0"/>
        <v>MasterCard debit (Keyed)</v>
      </c>
      <c r="Q38" t="s">
        <v>2353</v>
      </c>
    </row>
    <row r="39" spans="1:17" x14ac:dyDescent="0.2">
      <c r="A39" t="s">
        <v>2354</v>
      </c>
      <c r="B39" s="1">
        <v>45733.00341435185</v>
      </c>
      <c r="C39" s="1" t="b">
        <v>1</v>
      </c>
      <c r="D39">
        <v>5</v>
      </c>
      <c r="F39">
        <v>0.45</v>
      </c>
      <c r="G39" s="74">
        <v>0.09</v>
      </c>
      <c r="H39" t="b">
        <v>0</v>
      </c>
      <c r="K39" t="s">
        <v>1278</v>
      </c>
      <c r="L39">
        <v>40065</v>
      </c>
      <c r="M39" t="s">
        <v>1284</v>
      </c>
      <c r="N39" t="s">
        <v>1276</v>
      </c>
      <c r="P39" t="str">
        <f t="shared" si="0"/>
        <v>MasterCard credit (Keyed)</v>
      </c>
      <c r="Q39" t="s">
        <v>2355</v>
      </c>
    </row>
    <row r="40" spans="1:17" x14ac:dyDescent="0.2">
      <c r="A40" t="s">
        <v>2356</v>
      </c>
      <c r="B40" s="1">
        <v>45732.160601851851</v>
      </c>
      <c r="C40" s="1" t="b">
        <v>1</v>
      </c>
      <c r="D40">
        <v>5</v>
      </c>
      <c r="F40">
        <v>0.45</v>
      </c>
      <c r="G40" s="74">
        <v>0.09</v>
      </c>
      <c r="H40" t="b">
        <v>0</v>
      </c>
      <c r="I40" t="s">
        <v>2357</v>
      </c>
      <c r="J40" t="s">
        <v>2011</v>
      </c>
      <c r="K40" t="s">
        <v>1278</v>
      </c>
      <c r="L40">
        <v>63122</v>
      </c>
      <c r="M40" t="s">
        <v>1275</v>
      </c>
      <c r="N40" t="s">
        <v>1276</v>
      </c>
      <c r="O40" t="s">
        <v>1299</v>
      </c>
      <c r="P40" t="str">
        <f t="shared" si="0"/>
        <v>Visa credit (Apple Pay)</v>
      </c>
      <c r="Q40" t="s">
        <v>2358</v>
      </c>
    </row>
    <row r="41" spans="1:17" x14ac:dyDescent="0.2">
      <c r="A41" t="s">
        <v>2359</v>
      </c>
      <c r="B41" s="1">
        <v>45729.884027777778</v>
      </c>
      <c r="C41" s="1" t="b">
        <v>1</v>
      </c>
      <c r="D41">
        <v>0.5</v>
      </c>
      <c r="E41" t="s">
        <v>657</v>
      </c>
      <c r="F41">
        <v>0.31</v>
      </c>
      <c r="G41" s="74">
        <v>0.62</v>
      </c>
      <c r="H41" t="b">
        <v>0</v>
      </c>
      <c r="K41" t="s">
        <v>1278</v>
      </c>
      <c r="L41">
        <v>49426</v>
      </c>
      <c r="M41" t="s">
        <v>1275</v>
      </c>
      <c r="N41" t="s">
        <v>1276</v>
      </c>
      <c r="P41" t="str">
        <f t="shared" si="0"/>
        <v>Visa credit (Keyed)</v>
      </c>
      <c r="Q41" t="s">
        <v>2360</v>
      </c>
    </row>
    <row r="42" spans="1:17" x14ac:dyDescent="0.2">
      <c r="A42" t="s">
        <v>2361</v>
      </c>
      <c r="B42" s="1">
        <v>45728.642592592594</v>
      </c>
      <c r="C42" s="1" t="b">
        <v>1</v>
      </c>
      <c r="D42">
        <v>5</v>
      </c>
      <c r="F42">
        <v>0.45</v>
      </c>
      <c r="G42" s="74">
        <v>0.09</v>
      </c>
      <c r="H42" t="b">
        <v>1</v>
      </c>
      <c r="I42" t="s">
        <v>2362</v>
      </c>
      <c r="J42" t="s">
        <v>2184</v>
      </c>
      <c r="K42" t="s">
        <v>1278</v>
      </c>
      <c r="L42">
        <v>80130</v>
      </c>
      <c r="M42" t="s">
        <v>1284</v>
      </c>
      <c r="N42" t="s">
        <v>1307</v>
      </c>
      <c r="P42" t="str">
        <f t="shared" si="0"/>
        <v>MasterCard debit (Keyed)</v>
      </c>
      <c r="Q42" t="s">
        <v>2363</v>
      </c>
    </row>
    <row r="43" spans="1:17" x14ac:dyDescent="0.2">
      <c r="A43" t="s">
        <v>2364</v>
      </c>
      <c r="B43" s="1">
        <v>45720.752592592595</v>
      </c>
      <c r="C43" s="1" t="b">
        <v>1</v>
      </c>
      <c r="D43">
        <v>5</v>
      </c>
      <c r="F43">
        <v>0.45</v>
      </c>
      <c r="G43" s="74">
        <v>0.09</v>
      </c>
      <c r="H43" t="b">
        <v>0</v>
      </c>
      <c r="K43" t="s">
        <v>1278</v>
      </c>
      <c r="L43">
        <v>49080</v>
      </c>
      <c r="M43" t="s">
        <v>1275</v>
      </c>
      <c r="N43" t="s">
        <v>1276</v>
      </c>
      <c r="P43" t="str">
        <f t="shared" si="0"/>
        <v>Visa credit (Keyed)</v>
      </c>
      <c r="Q43" t="s">
        <v>2365</v>
      </c>
    </row>
    <row r="44" spans="1:17" x14ac:dyDescent="0.2">
      <c r="A44" t="s">
        <v>2366</v>
      </c>
      <c r="B44" s="1">
        <v>45707.875636574077</v>
      </c>
      <c r="C44" s="1" t="b">
        <v>1</v>
      </c>
      <c r="D44">
        <v>0.5</v>
      </c>
      <c r="E44" t="s">
        <v>657</v>
      </c>
      <c r="F44">
        <v>0.31</v>
      </c>
      <c r="G44" s="74">
        <v>0.62</v>
      </c>
      <c r="H44" t="b">
        <v>0</v>
      </c>
      <c r="K44" t="s">
        <v>1278</v>
      </c>
      <c r="L44">
        <v>49426</v>
      </c>
      <c r="M44" t="s">
        <v>1284</v>
      </c>
      <c r="N44" t="s">
        <v>1307</v>
      </c>
      <c r="P44" t="str">
        <f t="shared" si="0"/>
        <v>MasterCard debit (Keyed)</v>
      </c>
      <c r="Q44" t="s">
        <v>2367</v>
      </c>
    </row>
    <row r="45" spans="1:17" x14ac:dyDescent="0.2">
      <c r="A45" t="s">
        <v>2368</v>
      </c>
      <c r="B45" s="1">
        <v>45707.874039351853</v>
      </c>
      <c r="C45" s="1" t="b">
        <v>1</v>
      </c>
      <c r="D45">
        <v>0.5</v>
      </c>
      <c r="E45" t="s">
        <v>657</v>
      </c>
      <c r="F45">
        <v>0.31</v>
      </c>
      <c r="G45" s="74">
        <v>0.62</v>
      </c>
      <c r="H45" t="b">
        <v>0</v>
      </c>
      <c r="K45" t="s">
        <v>1278</v>
      </c>
      <c r="L45">
        <v>49426</v>
      </c>
      <c r="M45" t="s">
        <v>1284</v>
      </c>
      <c r="N45" t="s">
        <v>1307</v>
      </c>
      <c r="P45" t="str">
        <f t="shared" si="0"/>
        <v>MasterCard debit (Keyed)</v>
      </c>
      <c r="Q45" t="s">
        <v>2369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2559-F0F4-AB46-A435-7DB1F63A3D65}">
  <dimension ref="A1:Z110"/>
  <sheetViews>
    <sheetView topLeftCell="C90" workbookViewId="0">
      <selection activeCell="E99" sqref="E99"/>
    </sheetView>
  </sheetViews>
  <sheetFormatPr baseColWidth="10" defaultRowHeight="15" x14ac:dyDescent="0.2"/>
  <cols>
    <col min="2" max="2" width="17" bestFit="1" customWidth="1"/>
  </cols>
  <sheetData>
    <row r="1" spans="1:26" ht="16" x14ac:dyDescent="0.2">
      <c r="A1" s="70" t="s">
        <v>0</v>
      </c>
      <c r="B1" s="70" t="s">
        <v>1811</v>
      </c>
      <c r="C1" s="70" t="s">
        <v>1812</v>
      </c>
      <c r="D1" s="70" t="s">
        <v>4</v>
      </c>
      <c r="E1" s="70" t="s">
        <v>1813</v>
      </c>
      <c r="F1" s="70" t="s">
        <v>9</v>
      </c>
      <c r="G1" s="71" t="s">
        <v>1814</v>
      </c>
      <c r="H1" s="70" t="s">
        <v>1270</v>
      </c>
      <c r="I1" s="70" t="s">
        <v>1247</v>
      </c>
      <c r="J1" s="70" t="s">
        <v>1248</v>
      </c>
      <c r="K1" s="70" t="s">
        <v>1249</v>
      </c>
      <c r="L1" s="70" t="s">
        <v>1250</v>
      </c>
      <c r="M1" s="70" t="s">
        <v>1255</v>
      </c>
      <c r="N1" s="70" t="s">
        <v>1254</v>
      </c>
      <c r="O1" s="70" t="s">
        <v>1240</v>
      </c>
      <c r="P1" s="70" t="s">
        <v>1253</v>
      </c>
      <c r="Q1" s="70" t="s">
        <v>1242</v>
      </c>
      <c r="R1" s="70" t="s">
        <v>1243</v>
      </c>
      <c r="S1" s="70" t="s">
        <v>1252</v>
      </c>
      <c r="T1" s="70" t="s">
        <v>1241</v>
      </c>
      <c r="U1" s="70" t="s">
        <v>1251</v>
      </c>
      <c r="V1" s="70" t="s">
        <v>1239</v>
      </c>
      <c r="W1" s="70" t="s">
        <v>1256</v>
      </c>
      <c r="X1" s="70" t="s">
        <v>14</v>
      </c>
      <c r="Y1" s="70" t="s">
        <v>16</v>
      </c>
      <c r="Z1" s="70" t="s">
        <v>1815</v>
      </c>
    </row>
    <row r="2" spans="1:26" x14ac:dyDescent="0.2">
      <c r="A2" t="s">
        <v>1816</v>
      </c>
      <c r="B2" s="1">
        <v>45372.647523148145</v>
      </c>
      <c r="C2" s="1" t="b">
        <f>B2 &lt; (DATE(2024,3,18) + TIME(14,0,0))</f>
        <v>0</v>
      </c>
      <c r="D2">
        <v>4</v>
      </c>
      <c r="E2" t="s">
        <v>423</v>
      </c>
      <c r="F2">
        <v>0.42</v>
      </c>
      <c r="G2" s="72">
        <f>F2/D2</f>
        <v>0.105</v>
      </c>
      <c r="H2" t="b">
        <v>0</v>
      </c>
      <c r="K2" t="s">
        <v>1278</v>
      </c>
      <c r="L2">
        <v>27612</v>
      </c>
      <c r="N2" t="s">
        <v>1280</v>
      </c>
      <c r="O2" t="s">
        <v>1275</v>
      </c>
      <c r="P2" t="s">
        <v>1280</v>
      </c>
      <c r="Q2">
        <v>1</v>
      </c>
      <c r="R2">
        <v>2027</v>
      </c>
      <c r="S2" t="s">
        <v>1289</v>
      </c>
      <c r="T2" t="s">
        <v>1276</v>
      </c>
      <c r="U2" t="s">
        <v>1278</v>
      </c>
      <c r="V2">
        <v>6719</v>
      </c>
      <c r="X2" t="s">
        <v>1817</v>
      </c>
      <c r="Y2" t="s">
        <v>720</v>
      </c>
      <c r="Z2" t="str">
        <f>LEFT(Y2,1) &amp; REPT("*", LEN(LEFT(Y2,FIND("@",Y2)-1))-2) &amp; RIGHT(LEFT(Y2,FIND("@",Y2)-1),1) &amp; MID(Y2,FIND("@",Y2),LEN(Y2))</f>
        <v>g************r@gmail.com</v>
      </c>
    </row>
    <row r="3" spans="1:26" x14ac:dyDescent="0.2">
      <c r="A3" t="s">
        <v>1818</v>
      </c>
      <c r="B3" s="1">
        <v>45372.609571759262</v>
      </c>
      <c r="C3" s="1" t="b">
        <f t="shared" ref="C3:C66" si="0">B3 &lt; (DATE(2024,3,18) + TIME(14,0,0))</f>
        <v>0</v>
      </c>
      <c r="D3">
        <v>5</v>
      </c>
      <c r="F3">
        <v>0.45</v>
      </c>
      <c r="G3" s="72">
        <f t="shared" ref="G3:G66" si="1">F3/D3</f>
        <v>0.09</v>
      </c>
      <c r="H3" t="b">
        <v>0</v>
      </c>
      <c r="K3" t="s">
        <v>1278</v>
      </c>
      <c r="L3">
        <v>18954</v>
      </c>
      <c r="N3" t="s">
        <v>1280</v>
      </c>
      <c r="O3" t="s">
        <v>1284</v>
      </c>
      <c r="P3" t="s">
        <v>1280</v>
      </c>
      <c r="Q3">
        <v>2</v>
      </c>
      <c r="R3">
        <v>2026</v>
      </c>
      <c r="S3" t="s">
        <v>1819</v>
      </c>
      <c r="T3" t="s">
        <v>1276</v>
      </c>
      <c r="U3" t="s">
        <v>1278</v>
      </c>
      <c r="V3">
        <v>1009</v>
      </c>
      <c r="X3" t="s">
        <v>1820</v>
      </c>
      <c r="Y3" t="s">
        <v>1821</v>
      </c>
      <c r="Z3" t="str">
        <f t="shared" ref="Z3:Z66" si="2">LEFT(Y3,1) &amp; REPT("*", LEN(LEFT(Y3,FIND("@",Y3)-1))-2) &amp; RIGHT(LEFT(Y3,FIND("@",Y3)-1),1) &amp; MID(Y3,FIND("@",Y3),LEN(Y3))</f>
        <v>r********8@gmail.com</v>
      </c>
    </row>
    <row r="4" spans="1:26" x14ac:dyDescent="0.2">
      <c r="A4" t="s">
        <v>1822</v>
      </c>
      <c r="B4" s="1">
        <v>45372.579467592594</v>
      </c>
      <c r="C4" s="1" t="b">
        <f t="shared" si="0"/>
        <v>0</v>
      </c>
      <c r="D4">
        <v>5</v>
      </c>
      <c r="F4">
        <v>0.45</v>
      </c>
      <c r="G4" s="72">
        <f t="shared" si="1"/>
        <v>0.09</v>
      </c>
      <c r="H4" t="b">
        <v>0</v>
      </c>
      <c r="K4" t="s">
        <v>1278</v>
      </c>
      <c r="L4">
        <v>55306</v>
      </c>
      <c r="N4" t="s">
        <v>1280</v>
      </c>
      <c r="O4" t="s">
        <v>1467</v>
      </c>
      <c r="P4" t="s">
        <v>1280</v>
      </c>
      <c r="Q4">
        <v>12</v>
      </c>
      <c r="R4">
        <v>2027</v>
      </c>
      <c r="S4" t="s">
        <v>1823</v>
      </c>
      <c r="T4" t="s">
        <v>1276</v>
      </c>
      <c r="U4" t="s">
        <v>1278</v>
      </c>
      <c r="V4">
        <v>47</v>
      </c>
      <c r="X4" t="s">
        <v>1824</v>
      </c>
      <c r="Y4" t="s">
        <v>1825</v>
      </c>
      <c r="Z4" t="str">
        <f t="shared" si="2"/>
        <v>m******n@hotmail.com</v>
      </c>
    </row>
    <row r="5" spans="1:26" x14ac:dyDescent="0.2">
      <c r="A5" t="s">
        <v>1826</v>
      </c>
      <c r="B5" s="1">
        <v>45372.577349537038</v>
      </c>
      <c r="C5" s="1" t="b">
        <f t="shared" si="0"/>
        <v>0</v>
      </c>
      <c r="D5">
        <v>4</v>
      </c>
      <c r="E5" t="s">
        <v>423</v>
      </c>
      <c r="F5">
        <v>0.42</v>
      </c>
      <c r="G5" s="72">
        <f t="shared" si="1"/>
        <v>0.105</v>
      </c>
      <c r="H5" t="b">
        <v>0</v>
      </c>
      <c r="K5" t="s">
        <v>1278</v>
      </c>
      <c r="L5">
        <v>48823</v>
      </c>
      <c r="N5" t="s">
        <v>1280</v>
      </c>
      <c r="O5" t="s">
        <v>1331</v>
      </c>
      <c r="P5" t="s">
        <v>1280</v>
      </c>
      <c r="Q5">
        <v>7</v>
      </c>
      <c r="R5">
        <v>2026</v>
      </c>
      <c r="S5" t="s">
        <v>1827</v>
      </c>
      <c r="T5" t="s">
        <v>1276</v>
      </c>
      <c r="U5" t="s">
        <v>1278</v>
      </c>
      <c r="V5">
        <v>5009</v>
      </c>
      <c r="X5" t="s">
        <v>1828</v>
      </c>
      <c r="Y5" t="s">
        <v>1829</v>
      </c>
      <c r="Z5" t="str">
        <f t="shared" si="2"/>
        <v>m************n@hotmail.com</v>
      </c>
    </row>
    <row r="6" spans="1:26" x14ac:dyDescent="0.2">
      <c r="A6" t="s">
        <v>1830</v>
      </c>
      <c r="B6" s="1">
        <v>45372.544178240743</v>
      </c>
      <c r="C6" s="1" t="b">
        <f t="shared" si="0"/>
        <v>0</v>
      </c>
      <c r="D6">
        <v>4</v>
      </c>
      <c r="E6" t="s">
        <v>423</v>
      </c>
      <c r="F6">
        <v>0.42</v>
      </c>
      <c r="G6" s="72">
        <f t="shared" si="1"/>
        <v>0.105</v>
      </c>
      <c r="H6" t="b">
        <v>0</v>
      </c>
      <c r="K6" t="s">
        <v>1278</v>
      </c>
      <c r="L6">
        <v>48073</v>
      </c>
      <c r="N6" t="s">
        <v>1280</v>
      </c>
      <c r="O6" t="s">
        <v>1331</v>
      </c>
      <c r="P6" t="s">
        <v>1280</v>
      </c>
      <c r="Q6">
        <v>2</v>
      </c>
      <c r="R6">
        <v>2029</v>
      </c>
      <c r="S6" t="s">
        <v>1831</v>
      </c>
      <c r="T6" t="s">
        <v>1276</v>
      </c>
      <c r="U6" t="s">
        <v>1278</v>
      </c>
      <c r="V6">
        <v>1002</v>
      </c>
      <c r="X6" t="s">
        <v>1832</v>
      </c>
      <c r="Y6" t="s">
        <v>1833</v>
      </c>
      <c r="Z6" t="str">
        <f t="shared" si="2"/>
        <v>j***************t@hailer.us</v>
      </c>
    </row>
    <row r="7" spans="1:26" x14ac:dyDescent="0.2">
      <c r="A7" t="s">
        <v>1834</v>
      </c>
      <c r="B7" s="1">
        <v>45372.532349537039</v>
      </c>
      <c r="C7" s="1" t="b">
        <f t="shared" si="0"/>
        <v>0</v>
      </c>
      <c r="D7">
        <v>4</v>
      </c>
      <c r="E7" t="s">
        <v>423</v>
      </c>
      <c r="F7">
        <v>0.42</v>
      </c>
      <c r="G7" s="72">
        <f t="shared" si="1"/>
        <v>0.105</v>
      </c>
      <c r="H7" t="b">
        <v>0</v>
      </c>
      <c r="I7" t="s">
        <v>1835</v>
      </c>
      <c r="J7" t="s">
        <v>1401</v>
      </c>
      <c r="K7" t="s">
        <v>1278</v>
      </c>
      <c r="L7">
        <v>48823</v>
      </c>
      <c r="M7" t="s">
        <v>1281</v>
      </c>
      <c r="N7" t="s">
        <v>1281</v>
      </c>
      <c r="O7" t="s">
        <v>1275</v>
      </c>
      <c r="Q7">
        <v>2</v>
      </c>
      <c r="R7">
        <v>2031</v>
      </c>
      <c r="S7" t="s">
        <v>1836</v>
      </c>
      <c r="T7" t="s">
        <v>1276</v>
      </c>
      <c r="U7" t="s">
        <v>1278</v>
      </c>
      <c r="V7">
        <v>8072</v>
      </c>
      <c r="W7" t="s">
        <v>1299</v>
      </c>
      <c r="X7" t="s">
        <v>1837</v>
      </c>
      <c r="Y7" t="s">
        <v>1838</v>
      </c>
      <c r="Z7" t="str">
        <f t="shared" si="2"/>
        <v>m******4@gmail.com</v>
      </c>
    </row>
    <row r="8" spans="1:26" x14ac:dyDescent="0.2">
      <c r="A8" t="s">
        <v>1839</v>
      </c>
      <c r="B8" s="1">
        <v>45372.526458333334</v>
      </c>
      <c r="C8" s="1" t="b">
        <f t="shared" si="0"/>
        <v>0</v>
      </c>
      <c r="D8">
        <v>5</v>
      </c>
      <c r="F8">
        <v>0.45</v>
      </c>
      <c r="G8" s="72">
        <f t="shared" si="1"/>
        <v>0.09</v>
      </c>
      <c r="H8" t="b">
        <v>0</v>
      </c>
      <c r="K8" t="s">
        <v>1278</v>
      </c>
      <c r="L8">
        <v>33401</v>
      </c>
      <c r="N8" t="s">
        <v>1280</v>
      </c>
      <c r="O8" t="s">
        <v>1275</v>
      </c>
      <c r="P8" t="s">
        <v>1280</v>
      </c>
      <c r="Q8">
        <v>4</v>
      </c>
      <c r="R8">
        <v>2028</v>
      </c>
      <c r="S8" t="s">
        <v>1840</v>
      </c>
      <c r="T8" t="s">
        <v>1276</v>
      </c>
      <c r="U8" t="s">
        <v>1278</v>
      </c>
      <c r="V8">
        <v>1008</v>
      </c>
      <c r="X8" t="s">
        <v>1841</v>
      </c>
      <c r="Y8" t="s">
        <v>218</v>
      </c>
      <c r="Z8" t="str">
        <f t="shared" si="2"/>
        <v>m*********3@fau.edu</v>
      </c>
    </row>
    <row r="9" spans="1:26" x14ac:dyDescent="0.2">
      <c r="A9" t="s">
        <v>1842</v>
      </c>
      <c r="B9" s="1">
        <v>45372.477650462963</v>
      </c>
      <c r="C9" s="1" t="b">
        <f t="shared" si="0"/>
        <v>0</v>
      </c>
      <c r="D9">
        <v>5</v>
      </c>
      <c r="F9">
        <v>0.45</v>
      </c>
      <c r="G9" s="72">
        <f t="shared" si="1"/>
        <v>0.09</v>
      </c>
      <c r="H9" t="b">
        <v>0</v>
      </c>
      <c r="I9" t="s">
        <v>1843</v>
      </c>
      <c r="J9" t="s">
        <v>1430</v>
      </c>
      <c r="K9" t="s">
        <v>1278</v>
      </c>
      <c r="L9">
        <v>19607</v>
      </c>
      <c r="M9" t="s">
        <v>1280</v>
      </c>
      <c r="N9" t="s">
        <v>1280</v>
      </c>
      <c r="O9" t="s">
        <v>1275</v>
      </c>
      <c r="Q9">
        <v>1</v>
      </c>
      <c r="R9">
        <v>2029</v>
      </c>
      <c r="S9" t="s">
        <v>1844</v>
      </c>
      <c r="T9" t="s">
        <v>1307</v>
      </c>
      <c r="U9" t="s">
        <v>1278</v>
      </c>
      <c r="V9">
        <v>4584</v>
      </c>
      <c r="W9" t="s">
        <v>1299</v>
      </c>
      <c r="X9" t="s">
        <v>1845</v>
      </c>
      <c r="Y9" t="s">
        <v>1846</v>
      </c>
      <c r="Z9" t="str">
        <f t="shared" si="2"/>
        <v>m*******1@gmail.com</v>
      </c>
    </row>
    <row r="10" spans="1:26" x14ac:dyDescent="0.2">
      <c r="A10" t="s">
        <v>1847</v>
      </c>
      <c r="B10" s="1">
        <v>45372.449942129628</v>
      </c>
      <c r="C10" s="1" t="b">
        <f t="shared" si="0"/>
        <v>0</v>
      </c>
      <c r="D10">
        <v>5</v>
      </c>
      <c r="F10">
        <v>0.45</v>
      </c>
      <c r="G10" s="72">
        <f t="shared" si="1"/>
        <v>0.09</v>
      </c>
      <c r="H10" t="b">
        <v>0</v>
      </c>
      <c r="I10" t="s">
        <v>1848</v>
      </c>
      <c r="J10" t="s">
        <v>1849</v>
      </c>
      <c r="K10" t="s">
        <v>1278</v>
      </c>
      <c r="L10">
        <v>22180</v>
      </c>
      <c r="M10" t="s">
        <v>1280</v>
      </c>
      <c r="N10" t="s">
        <v>1280</v>
      </c>
      <c r="O10" t="s">
        <v>1275</v>
      </c>
      <c r="Q10">
        <v>3</v>
      </c>
      <c r="R10">
        <v>2027</v>
      </c>
      <c r="S10" t="s">
        <v>1850</v>
      </c>
      <c r="T10" t="s">
        <v>1307</v>
      </c>
      <c r="U10" t="s">
        <v>1278</v>
      </c>
      <c r="V10">
        <v>6940</v>
      </c>
      <c r="W10" t="s">
        <v>1299</v>
      </c>
      <c r="X10" t="s">
        <v>1851</v>
      </c>
      <c r="Y10" t="s">
        <v>1852</v>
      </c>
      <c r="Z10" t="str">
        <f t="shared" si="2"/>
        <v>v***********r@gmail.com</v>
      </c>
    </row>
    <row r="11" spans="1:26" x14ac:dyDescent="0.2">
      <c r="A11" t="s">
        <v>1853</v>
      </c>
      <c r="B11" s="1">
        <v>45372.17523148148</v>
      </c>
      <c r="C11" s="1" t="b">
        <f t="shared" si="0"/>
        <v>0</v>
      </c>
      <c r="D11">
        <v>5</v>
      </c>
      <c r="F11">
        <v>0.45</v>
      </c>
      <c r="G11" s="72">
        <f t="shared" si="1"/>
        <v>0.09</v>
      </c>
      <c r="H11" t="b">
        <v>0</v>
      </c>
      <c r="I11" t="s">
        <v>1854</v>
      </c>
      <c r="J11" t="s">
        <v>1474</v>
      </c>
      <c r="K11" t="s">
        <v>1278</v>
      </c>
      <c r="L11">
        <v>53406</v>
      </c>
      <c r="M11" t="s">
        <v>1280</v>
      </c>
      <c r="N11" t="s">
        <v>1280</v>
      </c>
      <c r="O11" t="s">
        <v>1275</v>
      </c>
      <c r="Q11">
        <v>12</v>
      </c>
      <c r="R11">
        <v>2030</v>
      </c>
      <c r="S11" t="s">
        <v>1855</v>
      </c>
      <c r="T11" t="s">
        <v>1276</v>
      </c>
      <c r="U11" t="s">
        <v>1278</v>
      </c>
      <c r="V11">
        <v>595</v>
      </c>
      <c r="W11" t="s">
        <v>1299</v>
      </c>
      <c r="X11" t="s">
        <v>1856</v>
      </c>
      <c r="Y11" t="s">
        <v>1857</v>
      </c>
      <c r="Z11" t="str">
        <f t="shared" si="2"/>
        <v>l***********0@gmail.com</v>
      </c>
    </row>
    <row r="12" spans="1:26" x14ac:dyDescent="0.2">
      <c r="A12" t="s">
        <v>1858</v>
      </c>
      <c r="B12" s="1">
        <v>45372.172592592593</v>
      </c>
      <c r="C12" s="1" t="b">
        <f t="shared" si="0"/>
        <v>0</v>
      </c>
      <c r="D12">
        <v>5</v>
      </c>
      <c r="F12">
        <v>0.45</v>
      </c>
      <c r="G12" s="72">
        <f t="shared" si="1"/>
        <v>0.09</v>
      </c>
      <c r="H12" t="b">
        <v>0</v>
      </c>
      <c r="I12" t="s">
        <v>1859</v>
      </c>
      <c r="J12" t="s">
        <v>1447</v>
      </c>
      <c r="K12" t="s">
        <v>1278</v>
      </c>
      <c r="L12">
        <v>33155</v>
      </c>
      <c r="M12" t="s">
        <v>1280</v>
      </c>
      <c r="N12" t="s">
        <v>1280</v>
      </c>
      <c r="O12" t="s">
        <v>1331</v>
      </c>
      <c r="Q12">
        <v>11</v>
      </c>
      <c r="R12">
        <v>2024</v>
      </c>
      <c r="S12" t="s">
        <v>1860</v>
      </c>
      <c r="T12" t="s">
        <v>1276</v>
      </c>
      <c r="U12" t="s">
        <v>1278</v>
      </c>
      <c r="V12">
        <v>2003</v>
      </c>
      <c r="W12" t="s">
        <v>1299</v>
      </c>
      <c r="X12" t="s">
        <v>1861</v>
      </c>
      <c r="Y12" t="s">
        <v>1862</v>
      </c>
      <c r="Z12" t="str">
        <f t="shared" si="2"/>
        <v>n***********m@gmail.com</v>
      </c>
    </row>
    <row r="13" spans="1:26" x14ac:dyDescent="0.2">
      <c r="A13" t="s">
        <v>1863</v>
      </c>
      <c r="B13" s="1">
        <v>45372.153611111113</v>
      </c>
      <c r="C13" s="1" t="b">
        <f t="shared" si="0"/>
        <v>0</v>
      </c>
      <c r="D13">
        <v>5</v>
      </c>
      <c r="F13">
        <v>0.45</v>
      </c>
      <c r="G13" s="72">
        <f t="shared" si="1"/>
        <v>0.09</v>
      </c>
      <c r="H13" t="b">
        <v>1</v>
      </c>
      <c r="K13" t="s">
        <v>1278</v>
      </c>
      <c r="L13">
        <v>84106</v>
      </c>
      <c r="N13" t="s">
        <v>1280</v>
      </c>
      <c r="O13" t="s">
        <v>1331</v>
      </c>
      <c r="P13" t="s">
        <v>1280</v>
      </c>
      <c r="Q13">
        <v>5</v>
      </c>
      <c r="R13">
        <v>2026</v>
      </c>
      <c r="S13" t="s">
        <v>1333</v>
      </c>
      <c r="T13" t="s">
        <v>1276</v>
      </c>
      <c r="U13" t="s">
        <v>1278</v>
      </c>
      <c r="V13">
        <v>3005</v>
      </c>
      <c r="W13" t="s">
        <v>1864</v>
      </c>
      <c r="X13" t="s">
        <v>1865</v>
      </c>
      <c r="Y13" t="s">
        <v>763</v>
      </c>
      <c r="Z13" t="str">
        <f t="shared" si="2"/>
        <v>t***r@banyanventures.com</v>
      </c>
    </row>
    <row r="14" spans="1:26" x14ac:dyDescent="0.2">
      <c r="A14" t="s">
        <v>1866</v>
      </c>
      <c r="B14" s="1">
        <v>45372.121979166666</v>
      </c>
      <c r="C14" s="1" t="b">
        <f t="shared" si="0"/>
        <v>0</v>
      </c>
      <c r="D14">
        <v>5</v>
      </c>
      <c r="F14">
        <v>0.45</v>
      </c>
      <c r="G14" s="72">
        <f t="shared" si="1"/>
        <v>0.09</v>
      </c>
      <c r="H14" t="b">
        <v>1</v>
      </c>
      <c r="K14" t="s">
        <v>1278</v>
      </c>
      <c r="L14">
        <v>94549</v>
      </c>
      <c r="N14" t="s">
        <v>1280</v>
      </c>
      <c r="O14" t="s">
        <v>1275</v>
      </c>
      <c r="P14" t="s">
        <v>1280</v>
      </c>
      <c r="Q14">
        <v>6</v>
      </c>
      <c r="R14">
        <v>2026</v>
      </c>
      <c r="S14" t="s">
        <v>1867</v>
      </c>
      <c r="T14" t="s">
        <v>1307</v>
      </c>
      <c r="U14" t="s">
        <v>1278</v>
      </c>
      <c r="V14">
        <v>6007</v>
      </c>
      <c r="W14" t="s">
        <v>1864</v>
      </c>
      <c r="X14" t="s">
        <v>1868</v>
      </c>
      <c r="Y14" t="s">
        <v>1869</v>
      </c>
      <c r="Z14" t="str">
        <f t="shared" si="2"/>
        <v>a*******0@gmail.com</v>
      </c>
    </row>
    <row r="15" spans="1:26" x14ac:dyDescent="0.2">
      <c r="A15" t="s">
        <v>1870</v>
      </c>
      <c r="B15" s="1">
        <v>45372.111134259256</v>
      </c>
      <c r="C15" s="1" t="b">
        <f t="shared" si="0"/>
        <v>0</v>
      </c>
      <c r="D15">
        <v>5</v>
      </c>
      <c r="F15">
        <v>0.45</v>
      </c>
      <c r="G15" s="72">
        <f t="shared" si="1"/>
        <v>0.09</v>
      </c>
      <c r="H15" t="b">
        <v>0</v>
      </c>
      <c r="K15" t="s">
        <v>1278</v>
      </c>
      <c r="L15">
        <v>50323</v>
      </c>
      <c r="N15" t="s">
        <v>1280</v>
      </c>
      <c r="O15" t="s">
        <v>1284</v>
      </c>
      <c r="P15" t="s">
        <v>1280</v>
      </c>
      <c r="Q15">
        <v>9</v>
      </c>
      <c r="R15">
        <v>2026</v>
      </c>
      <c r="S15" t="s">
        <v>1871</v>
      </c>
      <c r="T15" t="s">
        <v>1549</v>
      </c>
      <c r="U15" t="s">
        <v>1278</v>
      </c>
      <c r="V15">
        <v>35</v>
      </c>
      <c r="X15" t="s">
        <v>1872</v>
      </c>
      <c r="Y15" t="s">
        <v>1873</v>
      </c>
      <c r="Z15" t="str">
        <f t="shared" si="2"/>
        <v>a*********r@gmail.com</v>
      </c>
    </row>
    <row r="16" spans="1:26" x14ac:dyDescent="0.2">
      <c r="A16" t="s">
        <v>1874</v>
      </c>
      <c r="B16" s="1">
        <v>45372.069722222222</v>
      </c>
      <c r="C16" s="1" t="b">
        <f t="shared" si="0"/>
        <v>0</v>
      </c>
      <c r="D16">
        <v>5</v>
      </c>
      <c r="F16">
        <v>0.45</v>
      </c>
      <c r="G16" s="72">
        <f t="shared" si="1"/>
        <v>0.09</v>
      </c>
      <c r="H16" t="b">
        <v>1</v>
      </c>
      <c r="K16" t="s">
        <v>1278</v>
      </c>
      <c r="L16">
        <v>20170</v>
      </c>
      <c r="N16" t="s">
        <v>1280</v>
      </c>
      <c r="O16" t="s">
        <v>1275</v>
      </c>
      <c r="P16" t="s">
        <v>1280</v>
      </c>
      <c r="Q16">
        <v>7</v>
      </c>
      <c r="R16">
        <v>2028</v>
      </c>
      <c r="S16" t="s">
        <v>1875</v>
      </c>
      <c r="T16" t="s">
        <v>1549</v>
      </c>
      <c r="U16" t="s">
        <v>1278</v>
      </c>
      <c r="V16">
        <v>4567</v>
      </c>
      <c r="W16" t="s">
        <v>1864</v>
      </c>
      <c r="X16" t="s">
        <v>1876</v>
      </c>
      <c r="Y16" t="s">
        <v>1877</v>
      </c>
      <c r="Z16" t="str">
        <f t="shared" si="2"/>
        <v>m*********2@gmail.com</v>
      </c>
    </row>
    <row r="17" spans="1:26" x14ac:dyDescent="0.2">
      <c r="A17" t="s">
        <v>1878</v>
      </c>
      <c r="B17" s="1">
        <v>45372.057916666665</v>
      </c>
      <c r="C17" s="1" t="b">
        <f t="shared" si="0"/>
        <v>0</v>
      </c>
      <c r="D17">
        <v>5</v>
      </c>
      <c r="F17">
        <v>0.45</v>
      </c>
      <c r="G17" s="72">
        <f t="shared" si="1"/>
        <v>0.09</v>
      </c>
      <c r="H17" t="b">
        <v>1</v>
      </c>
      <c r="K17" t="s">
        <v>1278</v>
      </c>
      <c r="L17">
        <v>48093</v>
      </c>
      <c r="N17" t="s">
        <v>1280</v>
      </c>
      <c r="O17" t="s">
        <v>1284</v>
      </c>
      <c r="P17" t="s">
        <v>1280</v>
      </c>
      <c r="Q17">
        <v>4</v>
      </c>
      <c r="R17">
        <v>2026</v>
      </c>
      <c r="S17" t="s">
        <v>1879</v>
      </c>
      <c r="T17" t="s">
        <v>1307</v>
      </c>
      <c r="U17" t="s">
        <v>1278</v>
      </c>
      <c r="V17">
        <v>8332</v>
      </c>
      <c r="W17" t="s">
        <v>1864</v>
      </c>
      <c r="X17" t="s">
        <v>1880</v>
      </c>
      <c r="Y17" t="s">
        <v>198</v>
      </c>
      <c r="Z17" t="str">
        <f t="shared" si="2"/>
        <v>w********m@gmail.com</v>
      </c>
    </row>
    <row r="18" spans="1:26" x14ac:dyDescent="0.2">
      <c r="A18" t="s">
        <v>1881</v>
      </c>
      <c r="B18" s="1">
        <v>45372.040324074071</v>
      </c>
      <c r="C18" s="1" t="b">
        <f t="shared" si="0"/>
        <v>0</v>
      </c>
      <c r="D18">
        <v>5</v>
      </c>
      <c r="F18">
        <v>0.45</v>
      </c>
      <c r="G18" s="72">
        <f t="shared" si="1"/>
        <v>0.09</v>
      </c>
      <c r="H18" t="b">
        <v>1</v>
      </c>
      <c r="I18" t="s">
        <v>1882</v>
      </c>
      <c r="J18" t="s">
        <v>1718</v>
      </c>
      <c r="K18" t="s">
        <v>1278</v>
      </c>
      <c r="L18">
        <v>46628</v>
      </c>
      <c r="M18" t="s">
        <v>1280</v>
      </c>
      <c r="N18" t="s">
        <v>1280</v>
      </c>
      <c r="O18" t="s">
        <v>1275</v>
      </c>
      <c r="P18" t="s">
        <v>1280</v>
      </c>
      <c r="Q18">
        <v>2</v>
      </c>
      <c r="R18">
        <v>2026</v>
      </c>
      <c r="S18" t="s">
        <v>1735</v>
      </c>
      <c r="T18" t="s">
        <v>1307</v>
      </c>
      <c r="U18" t="s">
        <v>1278</v>
      </c>
      <c r="V18">
        <v>6685</v>
      </c>
      <c r="W18" t="s">
        <v>1864</v>
      </c>
      <c r="X18" t="s">
        <v>1883</v>
      </c>
      <c r="Y18" t="s">
        <v>246</v>
      </c>
      <c r="Z18" t="str">
        <f t="shared" si="2"/>
        <v>t******3@gmail.com</v>
      </c>
    </row>
    <row r="19" spans="1:26" x14ac:dyDescent="0.2">
      <c r="A19" t="s">
        <v>1884</v>
      </c>
      <c r="B19" s="1">
        <v>45372.034525462965</v>
      </c>
      <c r="C19" s="1" t="b">
        <f t="shared" si="0"/>
        <v>0</v>
      </c>
      <c r="D19">
        <v>5</v>
      </c>
      <c r="F19">
        <v>0.45</v>
      </c>
      <c r="G19" s="72">
        <f t="shared" si="1"/>
        <v>0.09</v>
      </c>
      <c r="H19" t="b">
        <v>0</v>
      </c>
      <c r="K19" t="s">
        <v>1278</v>
      </c>
      <c r="L19">
        <v>48317</v>
      </c>
      <c r="N19" t="s">
        <v>1280</v>
      </c>
      <c r="O19" t="s">
        <v>1331</v>
      </c>
      <c r="P19" t="s">
        <v>1280</v>
      </c>
      <c r="Q19">
        <v>3</v>
      </c>
      <c r="R19">
        <v>2027</v>
      </c>
      <c r="S19" t="s">
        <v>1885</v>
      </c>
      <c r="T19" t="s">
        <v>1276</v>
      </c>
      <c r="U19" t="s">
        <v>1278</v>
      </c>
      <c r="V19">
        <v>3001</v>
      </c>
      <c r="X19" t="s">
        <v>1886</v>
      </c>
      <c r="Y19" t="s">
        <v>1887</v>
      </c>
      <c r="Z19" t="str">
        <f t="shared" si="2"/>
        <v>k*****2@gmail.com</v>
      </c>
    </row>
    <row r="20" spans="1:26" x14ac:dyDescent="0.2">
      <c r="A20" t="s">
        <v>1888</v>
      </c>
      <c r="B20" s="1">
        <v>45372.030949074076</v>
      </c>
      <c r="C20" s="1" t="b">
        <f t="shared" si="0"/>
        <v>0</v>
      </c>
      <c r="D20">
        <v>5</v>
      </c>
      <c r="F20">
        <v>0.45</v>
      </c>
      <c r="G20" s="72">
        <f t="shared" si="1"/>
        <v>0.09</v>
      </c>
      <c r="H20" t="b">
        <v>0</v>
      </c>
      <c r="K20" t="s">
        <v>1278</v>
      </c>
      <c r="L20">
        <v>30101</v>
      </c>
      <c r="N20" t="s">
        <v>1280</v>
      </c>
      <c r="O20" t="s">
        <v>1284</v>
      </c>
      <c r="P20" t="s">
        <v>1280</v>
      </c>
      <c r="Q20">
        <v>9</v>
      </c>
      <c r="R20">
        <v>2027</v>
      </c>
      <c r="S20" t="s">
        <v>1889</v>
      </c>
      <c r="T20" t="s">
        <v>1276</v>
      </c>
      <c r="U20" t="s">
        <v>1278</v>
      </c>
      <c r="V20">
        <v>6051</v>
      </c>
      <c r="X20" t="s">
        <v>1890</v>
      </c>
      <c r="Y20" t="s">
        <v>1891</v>
      </c>
      <c r="Z20" t="str">
        <f t="shared" si="2"/>
        <v>l********7@comcast.net</v>
      </c>
    </row>
    <row r="21" spans="1:26" x14ac:dyDescent="0.2">
      <c r="A21" t="s">
        <v>1892</v>
      </c>
      <c r="B21" s="1">
        <v>45372.022743055553</v>
      </c>
      <c r="C21" s="1" t="b">
        <f t="shared" si="0"/>
        <v>0</v>
      </c>
      <c r="D21">
        <v>4</v>
      </c>
      <c r="E21" t="s">
        <v>422</v>
      </c>
      <c r="F21">
        <v>0.42</v>
      </c>
      <c r="G21" s="72">
        <f t="shared" si="1"/>
        <v>0.105</v>
      </c>
      <c r="H21" t="b">
        <v>0</v>
      </c>
      <c r="K21" t="s">
        <v>1278</v>
      </c>
      <c r="L21">
        <v>19343</v>
      </c>
      <c r="N21" t="s">
        <v>1280</v>
      </c>
      <c r="O21" t="s">
        <v>1284</v>
      </c>
      <c r="P21" t="s">
        <v>1280</v>
      </c>
      <c r="Q21">
        <v>1</v>
      </c>
      <c r="R21">
        <v>2029</v>
      </c>
      <c r="S21" t="s">
        <v>1893</v>
      </c>
      <c r="T21" t="s">
        <v>1307</v>
      </c>
      <c r="U21" t="s">
        <v>1278</v>
      </c>
      <c r="V21">
        <v>5887</v>
      </c>
      <c r="X21" t="s">
        <v>1894</v>
      </c>
      <c r="Y21" t="s">
        <v>1895</v>
      </c>
      <c r="Z21" t="str">
        <f t="shared" si="2"/>
        <v>d********r@comcast.net</v>
      </c>
    </row>
    <row r="22" spans="1:26" x14ac:dyDescent="0.2">
      <c r="A22" t="s">
        <v>1896</v>
      </c>
      <c r="B22" s="1">
        <v>45371.981759259259</v>
      </c>
      <c r="C22" s="1" t="b">
        <f t="shared" si="0"/>
        <v>0</v>
      </c>
      <c r="D22">
        <v>5</v>
      </c>
      <c r="F22">
        <v>0.45</v>
      </c>
      <c r="G22" s="72">
        <f t="shared" si="1"/>
        <v>0.09</v>
      </c>
      <c r="H22" t="b">
        <v>1</v>
      </c>
      <c r="K22" t="s">
        <v>1278</v>
      </c>
      <c r="L22">
        <v>10594</v>
      </c>
      <c r="N22" t="s">
        <v>1280</v>
      </c>
      <c r="O22" t="s">
        <v>1275</v>
      </c>
      <c r="P22" t="s">
        <v>1280</v>
      </c>
      <c r="Q22">
        <v>2</v>
      </c>
      <c r="R22">
        <v>2027</v>
      </c>
      <c r="S22" t="s">
        <v>1366</v>
      </c>
      <c r="T22" t="s">
        <v>1276</v>
      </c>
      <c r="U22" t="s">
        <v>1278</v>
      </c>
      <c r="V22">
        <v>4921</v>
      </c>
      <c r="W22" t="s">
        <v>1864</v>
      </c>
      <c r="X22" t="s">
        <v>1897</v>
      </c>
      <c r="Y22" t="s">
        <v>544</v>
      </c>
      <c r="Z22" t="str">
        <f t="shared" si="2"/>
        <v>t*******d@verizon.net</v>
      </c>
    </row>
    <row r="23" spans="1:26" x14ac:dyDescent="0.2">
      <c r="A23" t="s">
        <v>1898</v>
      </c>
      <c r="B23" s="1">
        <v>45371.952604166669</v>
      </c>
      <c r="C23" s="1" t="b">
        <f t="shared" si="0"/>
        <v>0</v>
      </c>
      <c r="D23">
        <v>5</v>
      </c>
      <c r="F23">
        <v>0.45</v>
      </c>
      <c r="G23" s="72">
        <f t="shared" si="1"/>
        <v>0.09</v>
      </c>
      <c r="H23" t="b">
        <v>0</v>
      </c>
      <c r="K23" t="s">
        <v>1278</v>
      </c>
      <c r="L23">
        <v>2180</v>
      </c>
      <c r="N23" t="s">
        <v>1280</v>
      </c>
      <c r="O23" t="s">
        <v>1275</v>
      </c>
      <c r="P23" t="s">
        <v>1280</v>
      </c>
      <c r="Q23">
        <v>11</v>
      </c>
      <c r="R23">
        <v>2026</v>
      </c>
      <c r="S23" t="s">
        <v>1899</v>
      </c>
      <c r="T23" t="s">
        <v>1276</v>
      </c>
      <c r="U23" t="s">
        <v>1278</v>
      </c>
      <c r="V23">
        <v>6970</v>
      </c>
      <c r="X23" t="s">
        <v>1900</v>
      </c>
      <c r="Y23" t="s">
        <v>1901</v>
      </c>
      <c r="Z23" t="str">
        <f t="shared" si="2"/>
        <v>g*************n@icloud.com</v>
      </c>
    </row>
    <row r="24" spans="1:26" x14ac:dyDescent="0.2">
      <c r="A24" t="s">
        <v>1902</v>
      </c>
      <c r="B24" s="1">
        <v>45371.889606481483</v>
      </c>
      <c r="C24" s="1" t="b">
        <f t="shared" si="0"/>
        <v>0</v>
      </c>
      <c r="D24">
        <v>5</v>
      </c>
      <c r="F24">
        <v>0.45</v>
      </c>
      <c r="G24" s="72">
        <f t="shared" si="1"/>
        <v>0.09</v>
      </c>
      <c r="H24" t="b">
        <v>1</v>
      </c>
      <c r="K24" t="s">
        <v>1278</v>
      </c>
      <c r="L24">
        <v>21601</v>
      </c>
      <c r="N24" t="s">
        <v>1280</v>
      </c>
      <c r="O24" t="s">
        <v>1331</v>
      </c>
      <c r="P24" t="s">
        <v>1280</v>
      </c>
      <c r="Q24">
        <v>12</v>
      </c>
      <c r="R24">
        <v>2027</v>
      </c>
      <c r="S24" t="s">
        <v>1903</v>
      </c>
      <c r="T24" t="s">
        <v>1276</v>
      </c>
      <c r="U24" t="s">
        <v>1278</v>
      </c>
      <c r="V24">
        <v>1003</v>
      </c>
      <c r="W24" t="s">
        <v>1864</v>
      </c>
      <c r="X24" t="s">
        <v>1904</v>
      </c>
      <c r="Y24" t="s">
        <v>1905</v>
      </c>
      <c r="Z24" t="str">
        <f t="shared" si="2"/>
        <v>j******y@atlanticbb.net</v>
      </c>
    </row>
    <row r="25" spans="1:26" x14ac:dyDescent="0.2">
      <c r="A25" t="s">
        <v>1906</v>
      </c>
      <c r="B25" s="1">
        <v>45371.867314814815</v>
      </c>
      <c r="C25" s="1" t="b">
        <f t="shared" si="0"/>
        <v>0</v>
      </c>
      <c r="D25">
        <v>5</v>
      </c>
      <c r="F25">
        <v>0.45</v>
      </c>
      <c r="G25" s="72">
        <f t="shared" si="1"/>
        <v>0.09</v>
      </c>
      <c r="H25" t="b">
        <v>1</v>
      </c>
      <c r="K25" t="s">
        <v>1278</v>
      </c>
      <c r="L25">
        <v>60506</v>
      </c>
      <c r="N25" t="s">
        <v>1280</v>
      </c>
      <c r="O25" t="s">
        <v>1284</v>
      </c>
      <c r="P25" t="s">
        <v>1280</v>
      </c>
      <c r="Q25">
        <v>2</v>
      </c>
      <c r="R25">
        <v>2026</v>
      </c>
      <c r="S25" t="s">
        <v>1907</v>
      </c>
      <c r="T25" t="s">
        <v>1307</v>
      </c>
      <c r="U25" t="s">
        <v>1278</v>
      </c>
      <c r="V25">
        <v>2565</v>
      </c>
      <c r="W25" t="s">
        <v>1864</v>
      </c>
      <c r="X25" t="s">
        <v>1908</v>
      </c>
      <c r="Y25" t="s">
        <v>1909</v>
      </c>
      <c r="Z25" t="str">
        <f t="shared" si="2"/>
        <v>r*********0@gmail.com</v>
      </c>
    </row>
    <row r="26" spans="1:26" x14ac:dyDescent="0.2">
      <c r="A26" t="s">
        <v>1910</v>
      </c>
      <c r="B26" s="1">
        <v>45371.84888888889</v>
      </c>
      <c r="C26" s="1" t="b">
        <f t="shared" si="0"/>
        <v>0</v>
      </c>
      <c r="D26">
        <v>5</v>
      </c>
      <c r="F26">
        <v>0.45</v>
      </c>
      <c r="G26" s="72">
        <f t="shared" si="1"/>
        <v>0.09</v>
      </c>
      <c r="H26" t="b">
        <v>0</v>
      </c>
      <c r="I26" t="s">
        <v>1911</v>
      </c>
      <c r="J26" t="s">
        <v>1362</v>
      </c>
      <c r="K26" t="s">
        <v>1278</v>
      </c>
      <c r="L26">
        <v>91105</v>
      </c>
      <c r="M26" t="s">
        <v>1280</v>
      </c>
      <c r="N26" t="s">
        <v>1280</v>
      </c>
      <c r="O26" t="s">
        <v>1275</v>
      </c>
      <c r="Q26">
        <v>2</v>
      </c>
      <c r="R26">
        <v>2030</v>
      </c>
      <c r="S26" t="s">
        <v>1912</v>
      </c>
      <c r="T26" t="s">
        <v>1276</v>
      </c>
      <c r="U26" t="s">
        <v>1278</v>
      </c>
      <c r="V26">
        <v>8810</v>
      </c>
      <c r="W26" t="s">
        <v>1299</v>
      </c>
      <c r="X26" t="s">
        <v>1913</v>
      </c>
      <c r="Y26" t="s">
        <v>1914</v>
      </c>
      <c r="Z26" t="str">
        <f t="shared" si="2"/>
        <v>r*c@rdclearylaw.com</v>
      </c>
    </row>
    <row r="27" spans="1:26" x14ac:dyDescent="0.2">
      <c r="A27" t="s">
        <v>1915</v>
      </c>
      <c r="B27" s="1">
        <v>45371.837488425925</v>
      </c>
      <c r="C27" s="1" t="b">
        <f t="shared" si="0"/>
        <v>0</v>
      </c>
      <c r="D27">
        <v>4</v>
      </c>
      <c r="E27" t="s">
        <v>422</v>
      </c>
      <c r="F27">
        <v>0.42</v>
      </c>
      <c r="G27" s="72">
        <f t="shared" si="1"/>
        <v>0.105</v>
      </c>
      <c r="H27" t="b">
        <v>1</v>
      </c>
      <c r="I27" t="s">
        <v>1916</v>
      </c>
      <c r="J27" t="s">
        <v>1917</v>
      </c>
      <c r="K27" t="s">
        <v>1278</v>
      </c>
      <c r="L27">
        <v>21114</v>
      </c>
      <c r="M27" t="s">
        <v>1280</v>
      </c>
      <c r="N27" t="s">
        <v>1280</v>
      </c>
      <c r="O27" t="s">
        <v>1284</v>
      </c>
      <c r="P27" t="s">
        <v>1280</v>
      </c>
      <c r="Q27">
        <v>12</v>
      </c>
      <c r="R27">
        <v>2024</v>
      </c>
      <c r="S27" t="s">
        <v>1918</v>
      </c>
      <c r="T27" t="s">
        <v>1307</v>
      </c>
      <c r="U27" t="s">
        <v>1278</v>
      </c>
      <c r="V27">
        <v>8307</v>
      </c>
      <c r="W27" t="s">
        <v>1864</v>
      </c>
      <c r="X27" t="s">
        <v>1919</v>
      </c>
      <c r="Y27" t="s">
        <v>1920</v>
      </c>
      <c r="Z27" t="str">
        <f t="shared" si="2"/>
        <v>d*********t@gmail.com</v>
      </c>
    </row>
    <row r="28" spans="1:26" x14ac:dyDescent="0.2">
      <c r="A28" t="s">
        <v>1921</v>
      </c>
      <c r="B28" s="1">
        <v>45371.792314814818</v>
      </c>
      <c r="C28" s="1" t="b">
        <f t="shared" si="0"/>
        <v>0</v>
      </c>
      <c r="D28">
        <v>5</v>
      </c>
      <c r="F28">
        <v>0.45</v>
      </c>
      <c r="G28" s="72">
        <f t="shared" si="1"/>
        <v>0.09</v>
      </c>
      <c r="H28" t="b">
        <v>0</v>
      </c>
      <c r="I28" t="s">
        <v>1922</v>
      </c>
      <c r="J28" t="s">
        <v>1362</v>
      </c>
      <c r="K28" t="s">
        <v>1278</v>
      </c>
      <c r="L28">
        <v>91403</v>
      </c>
      <c r="M28" t="s">
        <v>1280</v>
      </c>
      <c r="N28" t="s">
        <v>1280</v>
      </c>
      <c r="O28" t="s">
        <v>1331</v>
      </c>
      <c r="Q28">
        <v>11</v>
      </c>
      <c r="R28">
        <v>2024</v>
      </c>
      <c r="S28" t="s">
        <v>1923</v>
      </c>
      <c r="T28" t="s">
        <v>1276</v>
      </c>
      <c r="U28" t="s">
        <v>1278</v>
      </c>
      <c r="V28">
        <v>2011</v>
      </c>
      <c r="W28" t="s">
        <v>1299</v>
      </c>
      <c r="X28" t="s">
        <v>1924</v>
      </c>
      <c r="Y28" t="s">
        <v>1925</v>
      </c>
      <c r="Z28" t="str">
        <f t="shared" si="2"/>
        <v>k*********n@gmail.com</v>
      </c>
    </row>
    <row r="29" spans="1:26" x14ac:dyDescent="0.2">
      <c r="A29" t="s">
        <v>1926</v>
      </c>
      <c r="B29" s="1">
        <v>45371.753865740742</v>
      </c>
      <c r="C29" s="1" t="b">
        <f t="shared" si="0"/>
        <v>0</v>
      </c>
      <c r="D29">
        <v>5</v>
      </c>
      <c r="F29">
        <v>0.45</v>
      </c>
      <c r="G29" s="72">
        <f t="shared" si="1"/>
        <v>0.09</v>
      </c>
      <c r="H29" t="b">
        <v>0</v>
      </c>
      <c r="K29" t="s">
        <v>1362</v>
      </c>
      <c r="L29" t="s">
        <v>1487</v>
      </c>
      <c r="N29" t="s">
        <v>1280</v>
      </c>
      <c r="O29" t="s">
        <v>1275</v>
      </c>
      <c r="P29" t="s">
        <v>1280</v>
      </c>
      <c r="Q29">
        <v>2</v>
      </c>
      <c r="R29">
        <v>2027</v>
      </c>
      <c r="S29" t="s">
        <v>1927</v>
      </c>
      <c r="T29" t="s">
        <v>1276</v>
      </c>
      <c r="U29" t="s">
        <v>1362</v>
      </c>
      <c r="V29">
        <v>2650</v>
      </c>
      <c r="X29" t="s">
        <v>1928</v>
      </c>
      <c r="Y29" t="s">
        <v>410</v>
      </c>
      <c r="Z29" t="str">
        <f t="shared" si="2"/>
        <v>m***********s@hotmail.com</v>
      </c>
    </row>
    <row r="30" spans="1:26" x14ac:dyDescent="0.2">
      <c r="A30" t="s">
        <v>1929</v>
      </c>
      <c r="B30" s="1">
        <v>45371.70107638889</v>
      </c>
      <c r="C30" s="1" t="b">
        <f t="shared" si="0"/>
        <v>0</v>
      </c>
      <c r="D30">
        <v>5</v>
      </c>
      <c r="F30">
        <v>0.45</v>
      </c>
      <c r="G30" s="72">
        <f t="shared" si="1"/>
        <v>0.09</v>
      </c>
      <c r="H30" t="b">
        <v>1</v>
      </c>
      <c r="K30" t="s">
        <v>1278</v>
      </c>
      <c r="L30">
        <v>48085</v>
      </c>
      <c r="N30" t="s">
        <v>1280</v>
      </c>
      <c r="O30" t="s">
        <v>1275</v>
      </c>
      <c r="P30" t="s">
        <v>1280</v>
      </c>
      <c r="Q30">
        <v>9</v>
      </c>
      <c r="R30">
        <v>2027</v>
      </c>
      <c r="S30" t="s">
        <v>1930</v>
      </c>
      <c r="T30" t="s">
        <v>1276</v>
      </c>
      <c r="U30" t="s">
        <v>1278</v>
      </c>
      <c r="V30">
        <v>4241</v>
      </c>
      <c r="W30" t="s">
        <v>1864</v>
      </c>
      <c r="X30" t="s">
        <v>1931</v>
      </c>
      <c r="Y30" t="s">
        <v>1932</v>
      </c>
      <c r="Z30" t="str">
        <f t="shared" si="2"/>
        <v>d*********r@yahoo.com</v>
      </c>
    </row>
    <row r="31" spans="1:26" x14ac:dyDescent="0.2">
      <c r="A31" t="s">
        <v>1933</v>
      </c>
      <c r="B31" s="1">
        <v>45371.643680555557</v>
      </c>
      <c r="C31" s="1" t="b">
        <f t="shared" si="0"/>
        <v>0</v>
      </c>
      <c r="D31">
        <v>5</v>
      </c>
      <c r="F31">
        <v>0.45</v>
      </c>
      <c r="G31" s="72">
        <f t="shared" si="1"/>
        <v>0.09</v>
      </c>
      <c r="H31" t="b">
        <v>0</v>
      </c>
      <c r="K31" t="s">
        <v>1278</v>
      </c>
      <c r="L31">
        <v>92109</v>
      </c>
      <c r="N31" t="s">
        <v>1280</v>
      </c>
      <c r="O31" t="s">
        <v>1275</v>
      </c>
      <c r="P31" t="s">
        <v>1280</v>
      </c>
      <c r="Q31">
        <v>8</v>
      </c>
      <c r="R31">
        <v>2026</v>
      </c>
      <c r="S31" t="s">
        <v>1934</v>
      </c>
      <c r="T31" t="s">
        <v>1276</v>
      </c>
      <c r="U31" t="s">
        <v>1278</v>
      </c>
      <c r="V31">
        <v>3738</v>
      </c>
      <c r="X31" t="s">
        <v>1935</v>
      </c>
      <c r="Y31" t="s">
        <v>1936</v>
      </c>
      <c r="Z31" t="str">
        <f t="shared" si="2"/>
        <v>b**x@email.arizona.edu</v>
      </c>
    </row>
    <row r="32" spans="1:26" x14ac:dyDescent="0.2">
      <c r="A32" t="s">
        <v>1937</v>
      </c>
      <c r="B32" s="1">
        <v>45371.621296296296</v>
      </c>
      <c r="C32" s="1" t="b">
        <f t="shared" si="0"/>
        <v>0</v>
      </c>
      <c r="D32">
        <v>5</v>
      </c>
      <c r="F32">
        <v>0.45</v>
      </c>
      <c r="G32" s="72">
        <f t="shared" si="1"/>
        <v>0.09</v>
      </c>
      <c r="H32" t="b">
        <v>0</v>
      </c>
      <c r="I32" t="s">
        <v>1938</v>
      </c>
      <c r="J32" t="s">
        <v>1670</v>
      </c>
      <c r="K32" t="s">
        <v>1278</v>
      </c>
      <c r="L32">
        <v>55340</v>
      </c>
      <c r="M32" t="s">
        <v>1280</v>
      </c>
      <c r="N32" t="s">
        <v>1280</v>
      </c>
      <c r="O32" t="s">
        <v>1284</v>
      </c>
      <c r="Q32">
        <v>1</v>
      </c>
      <c r="R32">
        <v>2025</v>
      </c>
      <c r="S32" t="s">
        <v>1939</v>
      </c>
      <c r="T32" t="s">
        <v>1307</v>
      </c>
      <c r="U32" t="s">
        <v>1278</v>
      </c>
      <c r="V32">
        <v>2114</v>
      </c>
      <c r="W32" t="s">
        <v>1299</v>
      </c>
      <c r="X32" t="s">
        <v>1940</v>
      </c>
      <c r="Y32" t="s">
        <v>1941</v>
      </c>
      <c r="Z32" t="str">
        <f t="shared" si="2"/>
        <v>k**************o@icloud.com</v>
      </c>
    </row>
    <row r="33" spans="1:26" x14ac:dyDescent="0.2">
      <c r="A33" t="s">
        <v>1942</v>
      </c>
      <c r="B33" s="1">
        <v>45371.61954861111</v>
      </c>
      <c r="C33" s="1" t="b">
        <f t="shared" si="0"/>
        <v>0</v>
      </c>
      <c r="D33">
        <v>5</v>
      </c>
      <c r="F33">
        <v>0.45</v>
      </c>
      <c r="G33" s="72">
        <f t="shared" si="1"/>
        <v>0.09</v>
      </c>
      <c r="H33" t="b">
        <v>0</v>
      </c>
      <c r="I33" t="s">
        <v>1943</v>
      </c>
      <c r="J33" t="s">
        <v>1338</v>
      </c>
      <c r="K33" t="s">
        <v>1278</v>
      </c>
      <c r="L33">
        <v>77345</v>
      </c>
      <c r="M33" t="s">
        <v>1280</v>
      </c>
      <c r="N33" t="s">
        <v>1280</v>
      </c>
      <c r="O33" t="s">
        <v>1275</v>
      </c>
      <c r="Q33">
        <v>7</v>
      </c>
      <c r="R33">
        <v>2031</v>
      </c>
      <c r="S33" t="s">
        <v>1944</v>
      </c>
      <c r="T33" t="s">
        <v>1276</v>
      </c>
      <c r="U33" t="s">
        <v>1278</v>
      </c>
      <c r="V33">
        <v>7009</v>
      </c>
      <c r="W33" t="s">
        <v>1299</v>
      </c>
      <c r="X33" t="s">
        <v>1945</v>
      </c>
      <c r="Y33" t="s">
        <v>1946</v>
      </c>
      <c r="Z33" t="str">
        <f t="shared" si="2"/>
        <v>r**********4@aol.com</v>
      </c>
    </row>
    <row r="34" spans="1:26" x14ac:dyDescent="0.2">
      <c r="A34" t="s">
        <v>1947</v>
      </c>
      <c r="B34" s="1">
        <v>45371.578703703701</v>
      </c>
      <c r="C34" s="1" t="b">
        <f t="shared" si="0"/>
        <v>0</v>
      </c>
      <c r="D34">
        <v>5</v>
      </c>
      <c r="F34">
        <v>0.45</v>
      </c>
      <c r="G34" s="72">
        <f t="shared" si="1"/>
        <v>0.09</v>
      </c>
      <c r="H34" t="b">
        <v>0</v>
      </c>
      <c r="I34" t="s">
        <v>1948</v>
      </c>
      <c r="J34" t="s">
        <v>1949</v>
      </c>
      <c r="K34" t="s">
        <v>1278</v>
      </c>
      <c r="L34">
        <v>37135</v>
      </c>
      <c r="M34" t="s">
        <v>1280</v>
      </c>
      <c r="N34" t="s">
        <v>1280</v>
      </c>
      <c r="O34" t="s">
        <v>1275</v>
      </c>
      <c r="Q34">
        <v>12</v>
      </c>
      <c r="R34">
        <v>2029</v>
      </c>
      <c r="S34" t="s">
        <v>1950</v>
      </c>
      <c r="T34" t="s">
        <v>1276</v>
      </c>
      <c r="U34" t="s">
        <v>1278</v>
      </c>
      <c r="V34">
        <v>1226</v>
      </c>
      <c r="W34" t="s">
        <v>1951</v>
      </c>
      <c r="X34" t="s">
        <v>1952</v>
      </c>
      <c r="Y34" t="s">
        <v>1953</v>
      </c>
      <c r="Z34" t="str">
        <f t="shared" si="2"/>
        <v>m**********s@yahoo.com</v>
      </c>
    </row>
    <row r="35" spans="1:26" x14ac:dyDescent="0.2">
      <c r="A35" t="s">
        <v>1954</v>
      </c>
      <c r="B35" s="1">
        <v>45371.557395833333</v>
      </c>
      <c r="C35" s="1" t="b">
        <f t="shared" si="0"/>
        <v>0</v>
      </c>
      <c r="D35">
        <v>5</v>
      </c>
      <c r="F35">
        <v>0.45</v>
      </c>
      <c r="G35" s="72">
        <f t="shared" si="1"/>
        <v>0.09</v>
      </c>
      <c r="H35" t="b">
        <v>0</v>
      </c>
      <c r="K35" t="s">
        <v>1278</v>
      </c>
      <c r="L35">
        <v>49504</v>
      </c>
      <c r="N35" t="s">
        <v>1280</v>
      </c>
      <c r="O35" t="s">
        <v>1284</v>
      </c>
      <c r="P35" t="s">
        <v>1280</v>
      </c>
      <c r="Q35">
        <v>9</v>
      </c>
      <c r="R35">
        <v>2027</v>
      </c>
      <c r="S35" t="s">
        <v>1309</v>
      </c>
      <c r="T35" t="s">
        <v>1307</v>
      </c>
      <c r="U35" t="s">
        <v>1278</v>
      </c>
      <c r="V35">
        <v>9821</v>
      </c>
      <c r="X35" t="s">
        <v>1955</v>
      </c>
      <c r="Y35" t="s">
        <v>58</v>
      </c>
      <c r="Z35" t="str">
        <f t="shared" si="2"/>
        <v>m***********1@gmail.com</v>
      </c>
    </row>
    <row r="36" spans="1:26" x14ac:dyDescent="0.2">
      <c r="A36" t="s">
        <v>1956</v>
      </c>
      <c r="B36" s="1">
        <v>45371.46601851852</v>
      </c>
      <c r="C36" s="1" t="b">
        <f t="shared" si="0"/>
        <v>0</v>
      </c>
      <c r="D36">
        <v>5</v>
      </c>
      <c r="F36">
        <v>0.45</v>
      </c>
      <c r="G36" s="72">
        <f t="shared" si="1"/>
        <v>0.09</v>
      </c>
      <c r="H36" t="b">
        <v>0</v>
      </c>
      <c r="K36" t="s">
        <v>1278</v>
      </c>
      <c r="L36">
        <v>1930</v>
      </c>
      <c r="N36" t="s">
        <v>1280</v>
      </c>
      <c r="O36" t="s">
        <v>1275</v>
      </c>
      <c r="P36" t="s">
        <v>1280</v>
      </c>
      <c r="Q36">
        <v>9</v>
      </c>
      <c r="R36">
        <v>2024</v>
      </c>
      <c r="S36" t="s">
        <v>1957</v>
      </c>
      <c r="T36" t="s">
        <v>1276</v>
      </c>
      <c r="U36" t="s">
        <v>1278</v>
      </c>
      <c r="V36">
        <v>1122</v>
      </c>
      <c r="X36" t="s">
        <v>1958</v>
      </c>
      <c r="Y36" t="s">
        <v>1959</v>
      </c>
      <c r="Z36" t="str">
        <f t="shared" si="2"/>
        <v>l*****e@aol.com</v>
      </c>
    </row>
    <row r="37" spans="1:26" x14ac:dyDescent="0.2">
      <c r="A37" t="s">
        <v>1960</v>
      </c>
      <c r="B37" s="1">
        <v>45371.255833333336</v>
      </c>
      <c r="C37" s="1" t="b">
        <f t="shared" si="0"/>
        <v>0</v>
      </c>
      <c r="D37">
        <v>4</v>
      </c>
      <c r="E37" t="s">
        <v>423</v>
      </c>
      <c r="F37">
        <v>0.42</v>
      </c>
      <c r="G37" s="72">
        <f t="shared" si="1"/>
        <v>0.105</v>
      </c>
      <c r="H37" t="b">
        <v>0</v>
      </c>
      <c r="I37" t="s">
        <v>1961</v>
      </c>
      <c r="J37" t="s">
        <v>1962</v>
      </c>
      <c r="K37" t="s">
        <v>1362</v>
      </c>
      <c r="L37" t="s">
        <v>1963</v>
      </c>
      <c r="M37" t="s">
        <v>1280</v>
      </c>
      <c r="N37" t="s">
        <v>1280</v>
      </c>
      <c r="O37" t="s">
        <v>1284</v>
      </c>
      <c r="Q37">
        <v>11</v>
      </c>
      <c r="R37">
        <v>2026</v>
      </c>
      <c r="S37" t="s">
        <v>1964</v>
      </c>
      <c r="T37" t="s">
        <v>1276</v>
      </c>
      <c r="U37" t="s">
        <v>1362</v>
      </c>
      <c r="V37">
        <v>9504</v>
      </c>
      <c r="W37" t="s">
        <v>1299</v>
      </c>
      <c r="X37" t="s">
        <v>1965</v>
      </c>
      <c r="Y37" t="s">
        <v>54</v>
      </c>
      <c r="Z37" t="str">
        <f t="shared" si="2"/>
        <v>d******y@gmail.com</v>
      </c>
    </row>
    <row r="38" spans="1:26" x14ac:dyDescent="0.2">
      <c r="A38" t="s">
        <v>1966</v>
      </c>
      <c r="B38" s="1">
        <v>45371.178622685184</v>
      </c>
      <c r="C38" s="1" t="b">
        <f t="shared" si="0"/>
        <v>0</v>
      </c>
      <c r="D38">
        <v>4</v>
      </c>
      <c r="E38" t="s">
        <v>422</v>
      </c>
      <c r="F38">
        <v>0.42</v>
      </c>
      <c r="G38" s="72">
        <f t="shared" si="1"/>
        <v>0.105</v>
      </c>
      <c r="H38" t="b">
        <v>0</v>
      </c>
      <c r="I38" t="s">
        <v>1967</v>
      </c>
      <c r="J38" t="s">
        <v>1968</v>
      </c>
      <c r="K38" t="s">
        <v>1278</v>
      </c>
      <c r="L38">
        <v>89523</v>
      </c>
      <c r="M38" t="s">
        <v>1280</v>
      </c>
      <c r="N38" t="s">
        <v>1280</v>
      </c>
      <c r="O38" t="s">
        <v>1284</v>
      </c>
      <c r="Q38">
        <v>7</v>
      </c>
      <c r="R38">
        <v>2028</v>
      </c>
      <c r="S38" t="s">
        <v>1969</v>
      </c>
      <c r="T38" t="s">
        <v>1276</v>
      </c>
      <c r="U38" t="s">
        <v>1278</v>
      </c>
      <c r="V38">
        <v>8731</v>
      </c>
      <c r="W38" t="s">
        <v>1951</v>
      </c>
      <c r="X38" t="s">
        <v>1970</v>
      </c>
      <c r="Y38" t="s">
        <v>1971</v>
      </c>
      <c r="Z38" t="str">
        <f t="shared" si="2"/>
        <v>t*************e@yahoo.com</v>
      </c>
    </row>
    <row r="39" spans="1:26" x14ac:dyDescent="0.2">
      <c r="A39" t="s">
        <v>1972</v>
      </c>
      <c r="B39" s="1">
        <v>45371.143888888888</v>
      </c>
      <c r="C39" s="1" t="b">
        <f t="shared" si="0"/>
        <v>0</v>
      </c>
      <c r="D39">
        <v>5</v>
      </c>
      <c r="F39">
        <v>0.45</v>
      </c>
      <c r="G39" s="72">
        <f t="shared" si="1"/>
        <v>0.09</v>
      </c>
      <c r="H39" t="b">
        <v>0</v>
      </c>
      <c r="K39" t="s">
        <v>1278</v>
      </c>
      <c r="L39">
        <v>62025</v>
      </c>
      <c r="N39" t="s">
        <v>1280</v>
      </c>
      <c r="O39" t="s">
        <v>1284</v>
      </c>
      <c r="P39" t="s">
        <v>1280</v>
      </c>
      <c r="Q39">
        <v>8</v>
      </c>
      <c r="R39">
        <v>2024</v>
      </c>
      <c r="S39" t="s">
        <v>1973</v>
      </c>
      <c r="T39" t="s">
        <v>1276</v>
      </c>
      <c r="U39" t="s">
        <v>1278</v>
      </c>
      <c r="V39">
        <v>4702</v>
      </c>
      <c r="X39" t="s">
        <v>1974</v>
      </c>
      <c r="Y39" t="s">
        <v>1975</v>
      </c>
      <c r="Z39" t="str">
        <f t="shared" si="2"/>
        <v>a*****n@gmail.com</v>
      </c>
    </row>
    <row r="40" spans="1:26" x14ac:dyDescent="0.2">
      <c r="A40" t="s">
        <v>1976</v>
      </c>
      <c r="B40" s="1">
        <v>45371.138611111113</v>
      </c>
      <c r="C40" s="1" t="b">
        <f t="shared" si="0"/>
        <v>0</v>
      </c>
      <c r="D40">
        <v>5</v>
      </c>
      <c r="F40">
        <v>0.45</v>
      </c>
      <c r="G40" s="72">
        <f t="shared" si="1"/>
        <v>0.09</v>
      </c>
      <c r="H40" t="b">
        <v>1</v>
      </c>
      <c r="K40" t="s">
        <v>1278</v>
      </c>
      <c r="L40">
        <v>98116</v>
      </c>
      <c r="N40" t="s">
        <v>1280</v>
      </c>
      <c r="O40" t="s">
        <v>1275</v>
      </c>
      <c r="P40" t="s">
        <v>1280</v>
      </c>
      <c r="Q40">
        <v>8</v>
      </c>
      <c r="R40">
        <v>2027</v>
      </c>
      <c r="S40" t="s">
        <v>1977</v>
      </c>
      <c r="T40" t="s">
        <v>1276</v>
      </c>
      <c r="U40" t="s">
        <v>1278</v>
      </c>
      <c r="V40">
        <v>9278</v>
      </c>
      <c r="W40" t="s">
        <v>1864</v>
      </c>
      <c r="X40" t="s">
        <v>1978</v>
      </c>
      <c r="Y40" t="s">
        <v>1979</v>
      </c>
      <c r="Z40" t="str">
        <f t="shared" si="2"/>
        <v>j*******5@yahoo.com</v>
      </c>
    </row>
    <row r="41" spans="1:26" x14ac:dyDescent="0.2">
      <c r="A41" t="s">
        <v>1980</v>
      </c>
      <c r="B41" s="1">
        <v>45371.13113425926</v>
      </c>
      <c r="C41" s="1" t="b">
        <f t="shared" si="0"/>
        <v>0</v>
      </c>
      <c r="D41">
        <v>5</v>
      </c>
      <c r="F41">
        <v>0.45</v>
      </c>
      <c r="G41" s="72">
        <f t="shared" si="1"/>
        <v>0.09</v>
      </c>
      <c r="H41" t="b">
        <v>0</v>
      </c>
      <c r="I41" t="s">
        <v>1981</v>
      </c>
      <c r="J41" t="s">
        <v>1849</v>
      </c>
      <c r="K41" t="s">
        <v>1278</v>
      </c>
      <c r="L41">
        <v>22207</v>
      </c>
      <c r="M41" t="s">
        <v>1280</v>
      </c>
      <c r="N41" t="s">
        <v>1280</v>
      </c>
      <c r="O41" t="s">
        <v>1275</v>
      </c>
      <c r="Q41">
        <v>6</v>
      </c>
      <c r="R41">
        <v>2028</v>
      </c>
      <c r="S41" t="s">
        <v>1481</v>
      </c>
      <c r="T41" t="s">
        <v>1307</v>
      </c>
      <c r="U41" t="s">
        <v>1278</v>
      </c>
      <c r="V41">
        <v>2983</v>
      </c>
      <c r="W41" t="s">
        <v>1951</v>
      </c>
      <c r="X41" t="s">
        <v>1982</v>
      </c>
      <c r="Y41" t="s">
        <v>908</v>
      </c>
      <c r="Z41" t="str">
        <f t="shared" si="2"/>
        <v>j********6@gmail.com</v>
      </c>
    </row>
    <row r="42" spans="1:26" x14ac:dyDescent="0.2">
      <c r="A42" t="s">
        <v>1983</v>
      </c>
      <c r="B42" s="1">
        <v>45371.090729166666</v>
      </c>
      <c r="C42" s="1" t="b">
        <f t="shared" si="0"/>
        <v>0</v>
      </c>
      <c r="D42">
        <v>4</v>
      </c>
      <c r="E42" t="s">
        <v>423</v>
      </c>
      <c r="F42">
        <v>0.42</v>
      </c>
      <c r="G42" s="72">
        <f t="shared" si="1"/>
        <v>0.105</v>
      </c>
      <c r="H42" t="b">
        <v>0</v>
      </c>
      <c r="I42" t="s">
        <v>1400</v>
      </c>
      <c r="J42" t="s">
        <v>1401</v>
      </c>
      <c r="K42" t="s">
        <v>1278</v>
      </c>
      <c r="L42">
        <v>48823</v>
      </c>
      <c r="M42" t="s">
        <v>1280</v>
      </c>
      <c r="N42" t="s">
        <v>1280</v>
      </c>
      <c r="O42" t="s">
        <v>1331</v>
      </c>
      <c r="Q42">
        <v>11</v>
      </c>
      <c r="R42">
        <v>2024</v>
      </c>
      <c r="S42" t="s">
        <v>1984</v>
      </c>
      <c r="T42" t="s">
        <v>1276</v>
      </c>
      <c r="U42" t="s">
        <v>1278</v>
      </c>
      <c r="V42">
        <v>2014</v>
      </c>
      <c r="W42" t="s">
        <v>1299</v>
      </c>
      <c r="X42" t="s">
        <v>1985</v>
      </c>
      <c r="Y42" t="s">
        <v>927</v>
      </c>
      <c r="Z42" t="str">
        <f t="shared" si="2"/>
        <v>n*****1@gmail.com</v>
      </c>
    </row>
    <row r="43" spans="1:26" x14ac:dyDescent="0.2">
      <c r="A43" t="s">
        <v>1986</v>
      </c>
      <c r="B43" s="1">
        <v>45371.087442129632</v>
      </c>
      <c r="C43" s="1" t="b">
        <f t="shared" si="0"/>
        <v>0</v>
      </c>
      <c r="D43">
        <v>4</v>
      </c>
      <c r="E43" t="s">
        <v>423</v>
      </c>
      <c r="F43">
        <v>0.42</v>
      </c>
      <c r="G43" s="72">
        <f t="shared" si="1"/>
        <v>0.105</v>
      </c>
      <c r="H43" t="b">
        <v>0</v>
      </c>
      <c r="I43" t="s">
        <v>1504</v>
      </c>
      <c r="J43" t="s">
        <v>1505</v>
      </c>
      <c r="K43" t="s">
        <v>1278</v>
      </c>
      <c r="L43" t="s">
        <v>1506</v>
      </c>
      <c r="M43" t="s">
        <v>1280</v>
      </c>
      <c r="N43" t="s">
        <v>1280</v>
      </c>
      <c r="O43" t="s">
        <v>1284</v>
      </c>
      <c r="Q43">
        <v>3</v>
      </c>
      <c r="R43">
        <v>2027</v>
      </c>
      <c r="S43" t="s">
        <v>1507</v>
      </c>
      <c r="T43" t="s">
        <v>1276</v>
      </c>
      <c r="U43" t="s">
        <v>1278</v>
      </c>
      <c r="V43">
        <v>9222</v>
      </c>
      <c r="W43" t="s">
        <v>1299</v>
      </c>
      <c r="X43" t="s">
        <v>1987</v>
      </c>
      <c r="Y43" t="s">
        <v>338</v>
      </c>
      <c r="Z43" t="str">
        <f t="shared" si="2"/>
        <v>a********9@gmail.com</v>
      </c>
    </row>
    <row r="44" spans="1:26" x14ac:dyDescent="0.2">
      <c r="A44" t="s">
        <v>1988</v>
      </c>
      <c r="B44" s="1">
        <v>45371.060706018521</v>
      </c>
      <c r="C44" s="1" t="b">
        <f t="shared" si="0"/>
        <v>0</v>
      </c>
      <c r="D44">
        <v>5</v>
      </c>
      <c r="F44">
        <v>0.45</v>
      </c>
      <c r="G44" s="72">
        <f t="shared" si="1"/>
        <v>0.09</v>
      </c>
      <c r="H44" t="b">
        <v>1</v>
      </c>
      <c r="K44" t="s">
        <v>1278</v>
      </c>
      <c r="L44" t="s">
        <v>1989</v>
      </c>
      <c r="N44" t="s">
        <v>1280</v>
      </c>
      <c r="O44" t="s">
        <v>1275</v>
      </c>
      <c r="P44" t="s">
        <v>1280</v>
      </c>
      <c r="Q44">
        <v>3</v>
      </c>
      <c r="R44">
        <v>2027</v>
      </c>
      <c r="S44" t="s">
        <v>1990</v>
      </c>
      <c r="T44" t="s">
        <v>1307</v>
      </c>
      <c r="U44" t="s">
        <v>1278</v>
      </c>
      <c r="V44">
        <v>4107</v>
      </c>
      <c r="W44" t="s">
        <v>1864</v>
      </c>
      <c r="X44" t="s">
        <v>1991</v>
      </c>
      <c r="Y44" t="s">
        <v>1992</v>
      </c>
      <c r="Z44" t="str">
        <f t="shared" si="2"/>
        <v>m***********y@gmail.com</v>
      </c>
    </row>
    <row r="45" spans="1:26" x14ac:dyDescent="0.2">
      <c r="A45" t="s">
        <v>1993</v>
      </c>
      <c r="B45" s="1">
        <v>45371.056064814817</v>
      </c>
      <c r="C45" s="1" t="b">
        <f t="shared" si="0"/>
        <v>0</v>
      </c>
      <c r="D45">
        <v>5</v>
      </c>
      <c r="F45">
        <v>0.45</v>
      </c>
      <c r="G45" s="72">
        <f t="shared" si="1"/>
        <v>0.09</v>
      </c>
      <c r="H45" t="b">
        <v>0</v>
      </c>
      <c r="I45" t="s">
        <v>1994</v>
      </c>
      <c r="J45" t="s">
        <v>1447</v>
      </c>
      <c r="K45" t="s">
        <v>1278</v>
      </c>
      <c r="L45">
        <v>33418</v>
      </c>
      <c r="M45" t="s">
        <v>1280</v>
      </c>
      <c r="N45" t="s">
        <v>1280</v>
      </c>
      <c r="O45" t="s">
        <v>1331</v>
      </c>
      <c r="Q45">
        <v>11</v>
      </c>
      <c r="R45">
        <v>2024</v>
      </c>
      <c r="S45" t="s">
        <v>1995</v>
      </c>
      <c r="T45" t="s">
        <v>1276</v>
      </c>
      <c r="U45" t="s">
        <v>1278</v>
      </c>
      <c r="V45">
        <v>3007</v>
      </c>
      <c r="W45" t="s">
        <v>1299</v>
      </c>
      <c r="X45" t="s">
        <v>1996</v>
      </c>
      <c r="Y45" t="s">
        <v>1997</v>
      </c>
      <c r="Z45" t="str">
        <f t="shared" si="2"/>
        <v>m******c@gmail.com</v>
      </c>
    </row>
    <row r="46" spans="1:26" x14ac:dyDescent="0.2">
      <c r="A46" t="s">
        <v>1998</v>
      </c>
      <c r="B46" s="1">
        <v>45371.052719907406</v>
      </c>
      <c r="C46" s="1" t="b">
        <f t="shared" si="0"/>
        <v>0</v>
      </c>
      <c r="D46">
        <v>5</v>
      </c>
      <c r="F46">
        <v>0.45</v>
      </c>
      <c r="G46" s="72">
        <f t="shared" si="1"/>
        <v>0.09</v>
      </c>
      <c r="H46" t="b">
        <v>1</v>
      </c>
      <c r="K46" t="s">
        <v>1278</v>
      </c>
      <c r="L46">
        <v>46818</v>
      </c>
      <c r="N46" t="s">
        <v>1280</v>
      </c>
      <c r="O46" t="s">
        <v>1467</v>
      </c>
      <c r="P46" t="s">
        <v>1280</v>
      </c>
      <c r="Q46">
        <v>9</v>
      </c>
      <c r="R46">
        <v>2026</v>
      </c>
      <c r="S46" t="s">
        <v>1999</v>
      </c>
      <c r="T46" t="s">
        <v>1276</v>
      </c>
      <c r="U46" t="s">
        <v>1278</v>
      </c>
      <c r="V46">
        <v>2063</v>
      </c>
      <c r="W46" t="s">
        <v>1864</v>
      </c>
      <c r="X46" t="s">
        <v>2000</v>
      </c>
      <c r="Y46" t="s">
        <v>2001</v>
      </c>
      <c r="Z46" t="str">
        <f t="shared" si="2"/>
        <v>t******0@aol.com</v>
      </c>
    </row>
    <row r="47" spans="1:26" x14ac:dyDescent="0.2">
      <c r="A47" t="s">
        <v>2002</v>
      </c>
      <c r="B47" s="1">
        <v>45371.041851851849</v>
      </c>
      <c r="C47" s="1" t="b">
        <f t="shared" si="0"/>
        <v>0</v>
      </c>
      <c r="D47">
        <v>4</v>
      </c>
      <c r="E47" t="s">
        <v>422</v>
      </c>
      <c r="F47">
        <v>0.42</v>
      </c>
      <c r="G47" s="72">
        <f t="shared" si="1"/>
        <v>0.105</v>
      </c>
      <c r="H47" t="b">
        <v>0</v>
      </c>
      <c r="K47" t="s">
        <v>1278</v>
      </c>
      <c r="L47">
        <v>74030</v>
      </c>
      <c r="N47" t="s">
        <v>2003</v>
      </c>
      <c r="O47" t="s">
        <v>1275</v>
      </c>
      <c r="P47" t="s">
        <v>1280</v>
      </c>
      <c r="Q47">
        <v>8</v>
      </c>
      <c r="R47">
        <v>2032</v>
      </c>
      <c r="S47" t="s">
        <v>2004</v>
      </c>
      <c r="T47" t="s">
        <v>1549</v>
      </c>
      <c r="U47" t="s">
        <v>1278</v>
      </c>
      <c r="V47">
        <v>4415</v>
      </c>
      <c r="X47" t="s">
        <v>2005</v>
      </c>
      <c r="Y47" t="s">
        <v>2006</v>
      </c>
      <c r="Z47" t="str">
        <f t="shared" si="2"/>
        <v>t*********1@yahoo.com</v>
      </c>
    </row>
    <row r="48" spans="1:26" x14ac:dyDescent="0.2">
      <c r="A48" t="s">
        <v>2007</v>
      </c>
      <c r="B48" s="1">
        <v>45371.038842592592</v>
      </c>
      <c r="C48" s="1" t="b">
        <f t="shared" si="0"/>
        <v>0</v>
      </c>
      <c r="D48">
        <v>4</v>
      </c>
      <c r="E48" t="s">
        <v>423</v>
      </c>
      <c r="F48">
        <v>0.42</v>
      </c>
      <c r="G48" s="72">
        <f t="shared" si="1"/>
        <v>0.105</v>
      </c>
      <c r="H48" t="b">
        <v>1</v>
      </c>
      <c r="K48" t="s">
        <v>1278</v>
      </c>
      <c r="L48">
        <v>70817</v>
      </c>
      <c r="N48" t="s">
        <v>1280</v>
      </c>
      <c r="O48" t="s">
        <v>1275</v>
      </c>
      <c r="P48" t="s">
        <v>1280</v>
      </c>
      <c r="Q48">
        <v>4</v>
      </c>
      <c r="R48">
        <v>2025</v>
      </c>
      <c r="S48" t="s">
        <v>1416</v>
      </c>
      <c r="T48" t="s">
        <v>1276</v>
      </c>
      <c r="U48" t="s">
        <v>1278</v>
      </c>
      <c r="V48">
        <v>8653</v>
      </c>
      <c r="W48" t="s">
        <v>1864</v>
      </c>
      <c r="X48" t="s">
        <v>2008</v>
      </c>
      <c r="Y48" t="s">
        <v>210</v>
      </c>
      <c r="Z48" t="str">
        <f t="shared" si="2"/>
        <v>t*******t@bellsouth.net</v>
      </c>
    </row>
    <row r="49" spans="1:26" x14ac:dyDescent="0.2">
      <c r="A49" t="s">
        <v>2009</v>
      </c>
      <c r="B49" s="1">
        <v>45370.998865740738</v>
      </c>
      <c r="C49" s="1" t="b">
        <f t="shared" si="0"/>
        <v>0</v>
      </c>
      <c r="D49">
        <v>5</v>
      </c>
      <c r="F49">
        <v>0.45</v>
      </c>
      <c r="G49" s="72">
        <f t="shared" si="1"/>
        <v>0.09</v>
      </c>
      <c r="H49" t="b">
        <v>0</v>
      </c>
      <c r="I49" t="s">
        <v>2010</v>
      </c>
      <c r="J49" t="s">
        <v>2011</v>
      </c>
      <c r="K49" t="s">
        <v>1278</v>
      </c>
      <c r="L49">
        <v>63141</v>
      </c>
      <c r="M49" t="s">
        <v>1280</v>
      </c>
      <c r="N49" t="s">
        <v>1280</v>
      </c>
      <c r="O49" t="s">
        <v>1275</v>
      </c>
      <c r="Q49">
        <v>2</v>
      </c>
      <c r="R49">
        <v>2031</v>
      </c>
      <c r="S49" t="s">
        <v>2012</v>
      </c>
      <c r="T49" t="s">
        <v>1307</v>
      </c>
      <c r="U49" t="s">
        <v>1278</v>
      </c>
      <c r="V49">
        <v>7188</v>
      </c>
      <c r="W49" t="s">
        <v>1299</v>
      </c>
      <c r="X49" t="s">
        <v>2013</v>
      </c>
      <c r="Y49" t="s">
        <v>2014</v>
      </c>
      <c r="Z49" t="str">
        <f t="shared" si="2"/>
        <v>n******9@alumni.wfu.edu</v>
      </c>
    </row>
    <row r="50" spans="1:26" x14ac:dyDescent="0.2">
      <c r="A50" t="s">
        <v>2015</v>
      </c>
      <c r="B50" s="1">
        <v>45370.988449074073</v>
      </c>
      <c r="C50" s="1" t="b">
        <f t="shared" si="0"/>
        <v>0</v>
      </c>
      <c r="D50">
        <v>5</v>
      </c>
      <c r="F50">
        <v>0.45</v>
      </c>
      <c r="G50" s="72">
        <f t="shared" si="1"/>
        <v>0.09</v>
      </c>
      <c r="H50" t="b">
        <v>0</v>
      </c>
      <c r="I50" t="s">
        <v>2016</v>
      </c>
      <c r="J50" t="s">
        <v>2017</v>
      </c>
      <c r="K50" t="s">
        <v>1278</v>
      </c>
      <c r="L50">
        <v>29626</v>
      </c>
      <c r="M50" t="s">
        <v>1280</v>
      </c>
      <c r="N50" t="s">
        <v>1280</v>
      </c>
      <c r="O50" t="s">
        <v>1275</v>
      </c>
      <c r="Q50">
        <v>5</v>
      </c>
      <c r="R50">
        <v>2030</v>
      </c>
      <c r="S50" t="s">
        <v>2018</v>
      </c>
      <c r="T50" t="s">
        <v>1276</v>
      </c>
      <c r="U50" t="s">
        <v>1278</v>
      </c>
      <c r="V50">
        <v>967</v>
      </c>
      <c r="W50" t="s">
        <v>1299</v>
      </c>
      <c r="X50" t="s">
        <v>2019</v>
      </c>
      <c r="Y50" t="s">
        <v>2020</v>
      </c>
      <c r="Z50" t="str">
        <f t="shared" si="2"/>
        <v>i********2@charter.net</v>
      </c>
    </row>
    <row r="51" spans="1:26" x14ac:dyDescent="0.2">
      <c r="A51" t="s">
        <v>2021</v>
      </c>
      <c r="B51" s="1">
        <v>45370.964155092595</v>
      </c>
      <c r="C51" s="1" t="b">
        <f t="shared" si="0"/>
        <v>0</v>
      </c>
      <c r="D51">
        <v>5</v>
      </c>
      <c r="F51">
        <v>0.45</v>
      </c>
      <c r="G51" s="72">
        <f t="shared" si="1"/>
        <v>0.09</v>
      </c>
      <c r="H51" t="b">
        <v>0</v>
      </c>
      <c r="K51" t="s">
        <v>1278</v>
      </c>
      <c r="L51">
        <v>77590</v>
      </c>
      <c r="N51" t="s">
        <v>1280</v>
      </c>
      <c r="O51" t="s">
        <v>1275</v>
      </c>
      <c r="P51" t="s">
        <v>1280</v>
      </c>
      <c r="Q51">
        <v>2</v>
      </c>
      <c r="R51">
        <v>2026</v>
      </c>
      <c r="S51" t="s">
        <v>2022</v>
      </c>
      <c r="T51" t="s">
        <v>1276</v>
      </c>
      <c r="U51" t="s">
        <v>1278</v>
      </c>
      <c r="V51">
        <v>2175</v>
      </c>
      <c r="X51" t="s">
        <v>2023</v>
      </c>
      <c r="Y51" t="s">
        <v>495</v>
      </c>
      <c r="Z51" t="str">
        <f t="shared" si="2"/>
        <v>o****1@gmail.com</v>
      </c>
    </row>
    <row r="52" spans="1:26" x14ac:dyDescent="0.2">
      <c r="A52" t="s">
        <v>2024</v>
      </c>
      <c r="B52" s="1">
        <v>45370.954074074078</v>
      </c>
      <c r="C52" s="1" t="b">
        <f t="shared" si="0"/>
        <v>0</v>
      </c>
      <c r="D52">
        <v>5</v>
      </c>
      <c r="F52">
        <v>0.45</v>
      </c>
      <c r="G52" s="72">
        <f t="shared" si="1"/>
        <v>0.09</v>
      </c>
      <c r="H52" t="b">
        <v>0</v>
      </c>
      <c r="I52" t="s">
        <v>2025</v>
      </c>
      <c r="J52" t="s">
        <v>1670</v>
      </c>
      <c r="K52" t="s">
        <v>1278</v>
      </c>
      <c r="L52" t="s">
        <v>2026</v>
      </c>
      <c r="M52" t="s">
        <v>1280</v>
      </c>
      <c r="N52" t="s">
        <v>1280</v>
      </c>
      <c r="O52" t="s">
        <v>1284</v>
      </c>
      <c r="Q52">
        <v>3</v>
      </c>
      <c r="R52">
        <v>2027</v>
      </c>
      <c r="S52" t="s">
        <v>2027</v>
      </c>
      <c r="T52" t="s">
        <v>1276</v>
      </c>
      <c r="U52" t="s">
        <v>1278</v>
      </c>
      <c r="V52">
        <v>1538</v>
      </c>
      <c r="W52" t="s">
        <v>1299</v>
      </c>
      <c r="X52" t="s">
        <v>2028</v>
      </c>
      <c r="Y52" t="s">
        <v>2029</v>
      </c>
      <c r="Z52" t="str">
        <f t="shared" si="2"/>
        <v>m*********4@icloud.com</v>
      </c>
    </row>
    <row r="53" spans="1:26" x14ac:dyDescent="0.2">
      <c r="A53" t="s">
        <v>2030</v>
      </c>
      <c r="B53" s="1">
        <v>45370.948854166665</v>
      </c>
      <c r="C53" s="1" t="b">
        <f t="shared" si="0"/>
        <v>0</v>
      </c>
      <c r="D53">
        <v>5</v>
      </c>
      <c r="F53">
        <v>0.45</v>
      </c>
      <c r="G53" s="72">
        <f t="shared" si="1"/>
        <v>0.09</v>
      </c>
      <c r="H53" t="b">
        <v>1</v>
      </c>
      <c r="K53" t="s">
        <v>1278</v>
      </c>
      <c r="L53">
        <v>57108</v>
      </c>
      <c r="N53" t="s">
        <v>1280</v>
      </c>
      <c r="O53" t="s">
        <v>1275</v>
      </c>
      <c r="P53" t="s">
        <v>1280</v>
      </c>
      <c r="Q53">
        <v>7</v>
      </c>
      <c r="R53">
        <v>2027</v>
      </c>
      <c r="S53" t="s">
        <v>2031</v>
      </c>
      <c r="T53" t="s">
        <v>1276</v>
      </c>
      <c r="U53" t="s">
        <v>1278</v>
      </c>
      <c r="V53">
        <v>4017</v>
      </c>
      <c r="W53" t="s">
        <v>1864</v>
      </c>
      <c r="X53" t="s">
        <v>2032</v>
      </c>
      <c r="Y53" t="s">
        <v>2033</v>
      </c>
      <c r="Z53" t="str">
        <f t="shared" si="2"/>
        <v>m****s@hotmail.com</v>
      </c>
    </row>
    <row r="54" spans="1:26" x14ac:dyDescent="0.2">
      <c r="A54" t="s">
        <v>2034</v>
      </c>
      <c r="B54" s="1">
        <v>45370.931840277779</v>
      </c>
      <c r="C54" s="1" t="b">
        <f t="shared" si="0"/>
        <v>0</v>
      </c>
      <c r="D54">
        <v>5</v>
      </c>
      <c r="F54">
        <v>0.45</v>
      </c>
      <c r="G54" s="72">
        <f t="shared" si="1"/>
        <v>0.09</v>
      </c>
      <c r="H54" t="b">
        <v>0</v>
      </c>
      <c r="K54" t="s">
        <v>1278</v>
      </c>
      <c r="L54">
        <v>48910</v>
      </c>
      <c r="N54" t="s">
        <v>1280</v>
      </c>
      <c r="O54" t="s">
        <v>1284</v>
      </c>
      <c r="P54" t="s">
        <v>1280</v>
      </c>
      <c r="Q54">
        <v>12</v>
      </c>
      <c r="R54">
        <v>2025</v>
      </c>
      <c r="S54" t="s">
        <v>2035</v>
      </c>
      <c r="T54" t="s">
        <v>1276</v>
      </c>
      <c r="U54" t="s">
        <v>1278</v>
      </c>
      <c r="V54">
        <v>4819</v>
      </c>
      <c r="X54" t="s">
        <v>2036</v>
      </c>
      <c r="Y54" t="s">
        <v>182</v>
      </c>
      <c r="Z54" t="str">
        <f t="shared" si="2"/>
        <v>a***************o@gmail.com</v>
      </c>
    </row>
    <row r="55" spans="1:26" x14ac:dyDescent="0.2">
      <c r="A55" t="s">
        <v>2037</v>
      </c>
      <c r="B55" s="1">
        <v>45370.928680555553</v>
      </c>
      <c r="C55" s="1" t="b">
        <f t="shared" si="0"/>
        <v>0</v>
      </c>
      <c r="D55">
        <v>5</v>
      </c>
      <c r="F55">
        <v>0.45</v>
      </c>
      <c r="G55" s="72">
        <f t="shared" si="1"/>
        <v>0.09</v>
      </c>
      <c r="H55" t="b">
        <v>1</v>
      </c>
      <c r="K55" t="s">
        <v>1278</v>
      </c>
      <c r="L55">
        <v>91343</v>
      </c>
      <c r="N55" t="s">
        <v>1280</v>
      </c>
      <c r="O55" t="s">
        <v>1284</v>
      </c>
      <c r="P55" t="s">
        <v>1280</v>
      </c>
      <c r="Q55">
        <v>7</v>
      </c>
      <c r="R55">
        <v>2027</v>
      </c>
      <c r="S55" t="s">
        <v>2038</v>
      </c>
      <c r="T55" t="s">
        <v>1276</v>
      </c>
      <c r="U55" t="s">
        <v>1278</v>
      </c>
      <c r="V55">
        <v>2673</v>
      </c>
      <c r="W55" t="s">
        <v>1864</v>
      </c>
      <c r="X55" t="s">
        <v>2039</v>
      </c>
      <c r="Y55" t="s">
        <v>2040</v>
      </c>
      <c r="Z55" t="str">
        <f t="shared" si="2"/>
        <v>s***********s@gmail.com</v>
      </c>
    </row>
    <row r="56" spans="1:26" x14ac:dyDescent="0.2">
      <c r="A56" t="s">
        <v>2041</v>
      </c>
      <c r="B56" s="1">
        <v>45370.900462962964</v>
      </c>
      <c r="C56" s="1" t="b">
        <f t="shared" si="0"/>
        <v>0</v>
      </c>
      <c r="D56">
        <v>5</v>
      </c>
      <c r="F56">
        <v>0.45</v>
      </c>
      <c r="G56" s="72">
        <f t="shared" si="1"/>
        <v>0.09</v>
      </c>
      <c r="H56" t="b">
        <v>0</v>
      </c>
      <c r="K56" t="s">
        <v>1278</v>
      </c>
      <c r="L56">
        <v>53217</v>
      </c>
      <c r="N56" t="s">
        <v>1280</v>
      </c>
      <c r="O56" t="s">
        <v>1284</v>
      </c>
      <c r="P56" t="s">
        <v>1280</v>
      </c>
      <c r="Q56">
        <v>4</v>
      </c>
      <c r="R56">
        <v>2025</v>
      </c>
      <c r="S56" t="s">
        <v>2042</v>
      </c>
      <c r="T56" t="s">
        <v>1276</v>
      </c>
      <c r="U56" t="s">
        <v>1278</v>
      </c>
      <c r="V56">
        <v>8047</v>
      </c>
      <c r="X56" t="s">
        <v>2043</v>
      </c>
      <c r="Y56" t="s">
        <v>2044</v>
      </c>
      <c r="Z56" t="str">
        <f t="shared" si="2"/>
        <v>f*******z@mozmail.com</v>
      </c>
    </row>
    <row r="57" spans="1:26" x14ac:dyDescent="0.2">
      <c r="A57" t="s">
        <v>2045</v>
      </c>
      <c r="B57" s="1">
        <v>45370.89261574074</v>
      </c>
      <c r="C57" s="1" t="b">
        <f t="shared" si="0"/>
        <v>0</v>
      </c>
      <c r="D57">
        <v>5</v>
      </c>
      <c r="F57">
        <v>0.45</v>
      </c>
      <c r="G57" s="72">
        <f t="shared" si="1"/>
        <v>0.09</v>
      </c>
      <c r="H57" t="b">
        <v>0</v>
      </c>
      <c r="K57" t="s">
        <v>1278</v>
      </c>
      <c r="L57">
        <v>44012</v>
      </c>
      <c r="N57" t="s">
        <v>1280</v>
      </c>
      <c r="O57" t="s">
        <v>1275</v>
      </c>
      <c r="P57" t="s">
        <v>1280</v>
      </c>
      <c r="Q57">
        <v>8</v>
      </c>
      <c r="R57">
        <v>2024</v>
      </c>
      <c r="S57" t="s">
        <v>2046</v>
      </c>
      <c r="T57" t="s">
        <v>1276</v>
      </c>
      <c r="U57" t="s">
        <v>1278</v>
      </c>
      <c r="V57">
        <v>9447</v>
      </c>
      <c r="X57" t="s">
        <v>2047</v>
      </c>
      <c r="Y57" t="s">
        <v>2048</v>
      </c>
      <c r="Z57" t="str">
        <f t="shared" si="2"/>
        <v>j*******c@gmail.com</v>
      </c>
    </row>
    <row r="58" spans="1:26" x14ac:dyDescent="0.2">
      <c r="A58" t="s">
        <v>2049</v>
      </c>
      <c r="B58" s="1">
        <v>45370.890127314815</v>
      </c>
      <c r="C58" s="1" t="b">
        <f t="shared" si="0"/>
        <v>0</v>
      </c>
      <c r="D58">
        <v>4</v>
      </c>
      <c r="E58" t="s">
        <v>423</v>
      </c>
      <c r="F58">
        <v>0.42</v>
      </c>
      <c r="G58" s="72">
        <f t="shared" si="1"/>
        <v>0.105</v>
      </c>
      <c r="H58" t="b">
        <v>0</v>
      </c>
      <c r="K58" t="s">
        <v>1278</v>
      </c>
      <c r="L58">
        <v>60137</v>
      </c>
      <c r="N58" t="s">
        <v>1280</v>
      </c>
      <c r="O58" t="s">
        <v>1284</v>
      </c>
      <c r="P58" t="s">
        <v>1280</v>
      </c>
      <c r="Q58">
        <v>2</v>
      </c>
      <c r="R58">
        <v>2028</v>
      </c>
      <c r="S58" t="s">
        <v>2050</v>
      </c>
      <c r="T58" t="s">
        <v>1276</v>
      </c>
      <c r="U58" t="s">
        <v>1278</v>
      </c>
      <c r="V58">
        <v>2519</v>
      </c>
      <c r="X58" t="s">
        <v>2051</v>
      </c>
      <c r="Y58" t="s">
        <v>234</v>
      </c>
      <c r="Z58" t="str">
        <f t="shared" si="2"/>
        <v>h*********3@gmail.com</v>
      </c>
    </row>
    <row r="59" spans="1:26" x14ac:dyDescent="0.2">
      <c r="A59" t="s">
        <v>2052</v>
      </c>
      <c r="B59" s="1">
        <v>45370.875625000001</v>
      </c>
      <c r="C59" s="1" t="b">
        <f t="shared" si="0"/>
        <v>0</v>
      </c>
      <c r="D59">
        <v>4</v>
      </c>
      <c r="E59" t="s">
        <v>422</v>
      </c>
      <c r="F59">
        <v>0.42</v>
      </c>
      <c r="G59" s="72">
        <f t="shared" si="1"/>
        <v>0.105</v>
      </c>
      <c r="H59" t="b">
        <v>0</v>
      </c>
      <c r="K59" t="s">
        <v>1278</v>
      </c>
      <c r="L59">
        <v>55427</v>
      </c>
      <c r="N59" t="s">
        <v>1280</v>
      </c>
      <c r="O59" t="s">
        <v>1275</v>
      </c>
      <c r="P59" t="s">
        <v>1280</v>
      </c>
      <c r="Q59">
        <v>8</v>
      </c>
      <c r="R59">
        <v>2027</v>
      </c>
      <c r="S59" t="s">
        <v>2053</v>
      </c>
      <c r="T59" t="s">
        <v>1307</v>
      </c>
      <c r="U59" t="s">
        <v>1278</v>
      </c>
      <c r="V59">
        <v>8907</v>
      </c>
      <c r="X59" t="s">
        <v>2054</v>
      </c>
      <c r="Y59" t="s">
        <v>2055</v>
      </c>
      <c r="Z59" t="str">
        <f t="shared" si="2"/>
        <v>m************o@yahoo.com</v>
      </c>
    </row>
    <row r="60" spans="1:26" x14ac:dyDescent="0.2">
      <c r="A60" t="s">
        <v>2056</v>
      </c>
      <c r="B60" s="1">
        <v>45370.873692129629</v>
      </c>
      <c r="C60" s="1" t="b">
        <f t="shared" si="0"/>
        <v>0</v>
      </c>
      <c r="D60">
        <v>4</v>
      </c>
      <c r="E60" t="s">
        <v>423</v>
      </c>
      <c r="F60">
        <v>0.42</v>
      </c>
      <c r="G60" s="72">
        <f t="shared" si="1"/>
        <v>0.105</v>
      </c>
      <c r="H60" t="b">
        <v>1</v>
      </c>
      <c r="K60" t="s">
        <v>1278</v>
      </c>
      <c r="L60">
        <v>48917</v>
      </c>
      <c r="N60" t="s">
        <v>1280</v>
      </c>
      <c r="O60" t="s">
        <v>1275</v>
      </c>
      <c r="P60" t="s">
        <v>1280</v>
      </c>
      <c r="Q60">
        <v>6</v>
      </c>
      <c r="R60">
        <v>2028</v>
      </c>
      <c r="S60" t="s">
        <v>2057</v>
      </c>
      <c r="T60" t="s">
        <v>1276</v>
      </c>
      <c r="U60" t="s">
        <v>1278</v>
      </c>
      <c r="V60">
        <v>7277</v>
      </c>
      <c r="W60" t="s">
        <v>1864</v>
      </c>
      <c r="X60" t="s">
        <v>2058</v>
      </c>
      <c r="Y60" t="s">
        <v>2059</v>
      </c>
      <c r="Z60" t="str">
        <f t="shared" si="2"/>
        <v>d1@all-of-grace.org</v>
      </c>
    </row>
    <row r="61" spans="1:26" x14ac:dyDescent="0.2">
      <c r="A61" t="s">
        <v>2060</v>
      </c>
      <c r="B61" s="1">
        <v>45370.871354166666</v>
      </c>
      <c r="C61" s="1" t="b">
        <f t="shared" si="0"/>
        <v>0</v>
      </c>
      <c r="D61">
        <v>5</v>
      </c>
      <c r="F61">
        <v>0.45</v>
      </c>
      <c r="G61" s="72">
        <f t="shared" si="1"/>
        <v>0.09</v>
      </c>
      <c r="H61" t="b">
        <v>1</v>
      </c>
      <c r="K61" t="s">
        <v>1278</v>
      </c>
      <c r="L61">
        <v>44408</v>
      </c>
      <c r="N61" t="s">
        <v>1280</v>
      </c>
      <c r="O61" t="s">
        <v>1275</v>
      </c>
      <c r="P61" t="s">
        <v>1280</v>
      </c>
      <c r="Q61">
        <v>2</v>
      </c>
      <c r="R61">
        <v>2028</v>
      </c>
      <c r="S61" t="s">
        <v>1528</v>
      </c>
      <c r="T61" t="s">
        <v>1276</v>
      </c>
      <c r="U61" t="s">
        <v>1278</v>
      </c>
      <c r="V61">
        <v>6856</v>
      </c>
      <c r="W61" t="s">
        <v>1864</v>
      </c>
      <c r="X61" t="s">
        <v>2061</v>
      </c>
      <c r="Y61" t="s">
        <v>318</v>
      </c>
      <c r="Z61" t="str">
        <f t="shared" si="2"/>
        <v>c**********d@att.net</v>
      </c>
    </row>
    <row r="62" spans="1:26" x14ac:dyDescent="0.2">
      <c r="A62" t="s">
        <v>2062</v>
      </c>
      <c r="B62" s="1">
        <v>45370.869039351855</v>
      </c>
      <c r="C62" s="1" t="b">
        <f t="shared" si="0"/>
        <v>0</v>
      </c>
      <c r="D62">
        <v>5</v>
      </c>
      <c r="F62">
        <v>0.45</v>
      </c>
      <c r="G62" s="72">
        <f t="shared" si="1"/>
        <v>0.09</v>
      </c>
      <c r="H62" t="b">
        <v>1</v>
      </c>
      <c r="K62" t="s">
        <v>1278</v>
      </c>
      <c r="L62" t="s">
        <v>2063</v>
      </c>
      <c r="N62" t="s">
        <v>1280</v>
      </c>
      <c r="O62" t="s">
        <v>1275</v>
      </c>
      <c r="P62" t="s">
        <v>1280</v>
      </c>
      <c r="Q62">
        <v>7</v>
      </c>
      <c r="R62">
        <v>2025</v>
      </c>
      <c r="S62" t="s">
        <v>2064</v>
      </c>
      <c r="T62" t="s">
        <v>1307</v>
      </c>
      <c r="U62" t="s">
        <v>1278</v>
      </c>
      <c r="V62">
        <v>3985</v>
      </c>
      <c r="W62" t="s">
        <v>1864</v>
      </c>
      <c r="X62" t="s">
        <v>2065</v>
      </c>
      <c r="Y62" t="s">
        <v>2066</v>
      </c>
      <c r="Z62" t="str">
        <f t="shared" si="2"/>
        <v>m*******d@comcast.net</v>
      </c>
    </row>
    <row r="63" spans="1:26" x14ac:dyDescent="0.2">
      <c r="A63" t="s">
        <v>2067</v>
      </c>
      <c r="B63" s="1">
        <v>45370.864930555559</v>
      </c>
      <c r="C63" s="1" t="b">
        <f t="shared" si="0"/>
        <v>0</v>
      </c>
      <c r="D63">
        <v>4</v>
      </c>
      <c r="E63" t="s">
        <v>423</v>
      </c>
      <c r="F63">
        <v>0.42</v>
      </c>
      <c r="G63" s="72">
        <f t="shared" si="1"/>
        <v>0.105</v>
      </c>
      <c r="H63" t="b">
        <v>0</v>
      </c>
      <c r="I63" t="s">
        <v>2068</v>
      </c>
      <c r="J63" t="s">
        <v>1304</v>
      </c>
      <c r="K63" t="s">
        <v>1278</v>
      </c>
      <c r="L63">
        <v>27613</v>
      </c>
      <c r="M63" t="s">
        <v>1280</v>
      </c>
      <c r="N63" t="s">
        <v>1280</v>
      </c>
      <c r="O63" t="s">
        <v>1331</v>
      </c>
      <c r="Q63">
        <v>11</v>
      </c>
      <c r="R63">
        <v>2024</v>
      </c>
      <c r="S63" t="s">
        <v>2069</v>
      </c>
      <c r="T63" t="s">
        <v>1276</v>
      </c>
      <c r="U63" t="s">
        <v>1278</v>
      </c>
      <c r="V63">
        <v>4000</v>
      </c>
      <c r="W63" t="s">
        <v>1951</v>
      </c>
      <c r="X63" t="s">
        <v>2070</v>
      </c>
      <c r="Y63" t="s">
        <v>499</v>
      </c>
      <c r="Z63" t="str">
        <f t="shared" si="2"/>
        <v>j*********k@gmail.com</v>
      </c>
    </row>
    <row r="64" spans="1:26" x14ac:dyDescent="0.2">
      <c r="A64" t="s">
        <v>2071</v>
      </c>
      <c r="B64" s="1">
        <v>45370.861909722225</v>
      </c>
      <c r="C64" s="1" t="b">
        <f t="shared" si="0"/>
        <v>0</v>
      </c>
      <c r="D64">
        <v>5</v>
      </c>
      <c r="F64">
        <v>0.45</v>
      </c>
      <c r="G64" s="72">
        <f t="shared" si="1"/>
        <v>0.09</v>
      </c>
      <c r="H64" t="b">
        <v>0</v>
      </c>
      <c r="I64" t="s">
        <v>2072</v>
      </c>
      <c r="J64" t="s">
        <v>2073</v>
      </c>
      <c r="K64" t="s">
        <v>1278</v>
      </c>
      <c r="L64" t="s">
        <v>2074</v>
      </c>
      <c r="M64" t="s">
        <v>1280</v>
      </c>
      <c r="N64" t="s">
        <v>1280</v>
      </c>
      <c r="O64" t="s">
        <v>1284</v>
      </c>
      <c r="Q64">
        <v>11</v>
      </c>
      <c r="R64">
        <v>2026</v>
      </c>
      <c r="S64" t="s">
        <v>2075</v>
      </c>
      <c r="T64" t="s">
        <v>1276</v>
      </c>
      <c r="U64" t="s">
        <v>1278</v>
      </c>
      <c r="V64">
        <v>4441</v>
      </c>
      <c r="W64" t="s">
        <v>1299</v>
      </c>
      <c r="X64" t="s">
        <v>2076</v>
      </c>
      <c r="Y64" t="s">
        <v>2077</v>
      </c>
      <c r="Z64" t="str">
        <f t="shared" si="2"/>
        <v>b***b@aol.com</v>
      </c>
    </row>
    <row r="65" spans="1:26" x14ac:dyDescent="0.2">
      <c r="A65" t="s">
        <v>2078</v>
      </c>
      <c r="B65" s="1">
        <v>45370.821863425925</v>
      </c>
      <c r="C65" s="1" t="b">
        <f t="shared" si="0"/>
        <v>0</v>
      </c>
      <c r="D65">
        <v>4</v>
      </c>
      <c r="E65" t="s">
        <v>422</v>
      </c>
      <c r="F65">
        <v>0.42</v>
      </c>
      <c r="G65" s="72">
        <f t="shared" si="1"/>
        <v>0.105</v>
      </c>
      <c r="H65" t="b">
        <v>0</v>
      </c>
      <c r="K65" t="s">
        <v>1278</v>
      </c>
      <c r="L65">
        <v>65611</v>
      </c>
      <c r="N65" t="s">
        <v>1280</v>
      </c>
      <c r="O65" t="s">
        <v>1275</v>
      </c>
      <c r="P65" t="s">
        <v>1280</v>
      </c>
      <c r="Q65">
        <v>8</v>
      </c>
      <c r="R65">
        <v>2026</v>
      </c>
      <c r="S65" t="s">
        <v>2079</v>
      </c>
      <c r="T65" t="s">
        <v>1307</v>
      </c>
      <c r="U65" t="s">
        <v>1278</v>
      </c>
      <c r="V65">
        <v>2007</v>
      </c>
      <c r="X65" t="s">
        <v>2080</v>
      </c>
      <c r="Y65" t="s">
        <v>2081</v>
      </c>
      <c r="Z65" t="str">
        <f t="shared" si="2"/>
        <v>s****l@live.com</v>
      </c>
    </row>
    <row r="66" spans="1:26" x14ac:dyDescent="0.2">
      <c r="A66" t="s">
        <v>2082</v>
      </c>
      <c r="B66" s="1">
        <v>45370.821712962963</v>
      </c>
      <c r="C66" s="1" t="b">
        <f t="shared" si="0"/>
        <v>0</v>
      </c>
      <c r="D66">
        <v>5</v>
      </c>
      <c r="F66">
        <v>0.45</v>
      </c>
      <c r="G66" s="72">
        <f t="shared" si="1"/>
        <v>0.09</v>
      </c>
      <c r="H66" t="b">
        <v>0</v>
      </c>
      <c r="K66" t="s">
        <v>1278</v>
      </c>
      <c r="L66">
        <v>48884</v>
      </c>
      <c r="N66" t="s">
        <v>1280</v>
      </c>
      <c r="O66" t="s">
        <v>1284</v>
      </c>
      <c r="P66" t="s">
        <v>1280</v>
      </c>
      <c r="Q66">
        <v>12</v>
      </c>
      <c r="R66">
        <v>2026</v>
      </c>
      <c r="S66" t="s">
        <v>2083</v>
      </c>
      <c r="T66" t="s">
        <v>1307</v>
      </c>
      <c r="U66" t="s">
        <v>1278</v>
      </c>
      <c r="V66">
        <v>5910</v>
      </c>
      <c r="X66" t="s">
        <v>2084</v>
      </c>
      <c r="Y66" t="s">
        <v>2085</v>
      </c>
      <c r="Z66" t="str">
        <f t="shared" si="2"/>
        <v>b***********r@gmail.com</v>
      </c>
    </row>
    <row r="67" spans="1:26" x14ac:dyDescent="0.2">
      <c r="A67" t="s">
        <v>2086</v>
      </c>
      <c r="B67" s="1">
        <v>45370.821446759262</v>
      </c>
      <c r="C67" s="1" t="b">
        <f t="shared" ref="C67:C110" si="3">B67 &lt; (DATE(2024,3,18) + TIME(14,0,0))</f>
        <v>0</v>
      </c>
      <c r="D67">
        <v>5</v>
      </c>
      <c r="F67">
        <v>0.45</v>
      </c>
      <c r="G67" s="72">
        <f t="shared" ref="G67:G110" si="4">F67/D67</f>
        <v>0.09</v>
      </c>
      <c r="H67" t="b">
        <v>0</v>
      </c>
      <c r="I67" t="s">
        <v>2087</v>
      </c>
      <c r="J67" t="s">
        <v>1401</v>
      </c>
      <c r="K67" t="s">
        <v>1278</v>
      </c>
      <c r="L67">
        <v>48214</v>
      </c>
      <c r="M67" t="s">
        <v>1280</v>
      </c>
      <c r="N67" t="s">
        <v>1280</v>
      </c>
      <c r="O67" t="s">
        <v>1275</v>
      </c>
      <c r="Q67">
        <v>4</v>
      </c>
      <c r="R67">
        <v>2028</v>
      </c>
      <c r="S67" t="s">
        <v>2088</v>
      </c>
      <c r="T67" t="s">
        <v>1276</v>
      </c>
      <c r="U67" t="s">
        <v>1278</v>
      </c>
      <c r="V67">
        <v>6299</v>
      </c>
      <c r="W67" t="s">
        <v>1951</v>
      </c>
      <c r="X67" t="s">
        <v>2089</v>
      </c>
      <c r="Y67" t="s">
        <v>2090</v>
      </c>
      <c r="Z67" t="str">
        <f t="shared" ref="Z67:Z110" si="5">LEFT(Y67,1) &amp; REPT("*", LEN(LEFT(Y67,FIND("@",Y67)-1))-2) &amp; RIGHT(LEFT(Y67,FIND("@",Y67)-1),1) &amp; MID(Y67,FIND("@",Y67),LEN(Y67))</f>
        <v>a*********d@gmail.com</v>
      </c>
    </row>
    <row r="68" spans="1:26" x14ac:dyDescent="0.2">
      <c r="A68" t="s">
        <v>2091</v>
      </c>
      <c r="B68" s="1">
        <v>45370.807187500002</v>
      </c>
      <c r="C68" s="1" t="b">
        <f t="shared" si="3"/>
        <v>0</v>
      </c>
      <c r="D68">
        <v>5</v>
      </c>
      <c r="F68">
        <v>0.45</v>
      </c>
      <c r="G68" s="72">
        <f t="shared" si="4"/>
        <v>0.09</v>
      </c>
      <c r="H68" t="b">
        <v>1</v>
      </c>
      <c r="I68" t="s">
        <v>2092</v>
      </c>
      <c r="J68" t="s">
        <v>1362</v>
      </c>
      <c r="K68" t="s">
        <v>1278</v>
      </c>
      <c r="L68">
        <v>91320</v>
      </c>
      <c r="M68" t="s">
        <v>1280</v>
      </c>
      <c r="N68" t="s">
        <v>1280</v>
      </c>
      <c r="O68" t="s">
        <v>1275</v>
      </c>
      <c r="P68" t="s">
        <v>1280</v>
      </c>
      <c r="Q68">
        <v>10</v>
      </c>
      <c r="R68">
        <v>2028</v>
      </c>
      <c r="S68" t="s">
        <v>2093</v>
      </c>
      <c r="T68" t="s">
        <v>1307</v>
      </c>
      <c r="U68" t="s">
        <v>1278</v>
      </c>
      <c r="V68">
        <v>240</v>
      </c>
      <c r="W68" t="s">
        <v>1864</v>
      </c>
      <c r="X68" t="s">
        <v>2094</v>
      </c>
      <c r="Y68" t="s">
        <v>2095</v>
      </c>
      <c r="Z68" t="str">
        <f t="shared" si="5"/>
        <v>j**********3@gmail.com</v>
      </c>
    </row>
    <row r="69" spans="1:26" x14ac:dyDescent="0.2">
      <c r="A69" t="s">
        <v>2096</v>
      </c>
      <c r="B69" s="1">
        <v>45370.802025462966</v>
      </c>
      <c r="C69" s="1" t="b">
        <f t="shared" si="3"/>
        <v>0</v>
      </c>
      <c r="D69">
        <v>5</v>
      </c>
      <c r="F69">
        <v>0.45</v>
      </c>
      <c r="G69" s="72">
        <f t="shared" si="4"/>
        <v>0.09</v>
      </c>
      <c r="H69" t="b">
        <v>0</v>
      </c>
      <c r="K69" t="s">
        <v>1278</v>
      </c>
      <c r="L69">
        <v>33076</v>
      </c>
      <c r="N69" t="s">
        <v>1280</v>
      </c>
      <c r="O69" t="s">
        <v>1331</v>
      </c>
      <c r="P69" t="s">
        <v>1280</v>
      </c>
      <c r="Q69">
        <v>1</v>
      </c>
      <c r="R69">
        <v>2028</v>
      </c>
      <c r="S69" t="s">
        <v>2097</v>
      </c>
      <c r="T69" t="s">
        <v>1276</v>
      </c>
      <c r="U69" t="s">
        <v>1278</v>
      </c>
      <c r="V69">
        <v>7000</v>
      </c>
      <c r="X69" t="s">
        <v>2098</v>
      </c>
      <c r="Y69" t="s">
        <v>2099</v>
      </c>
      <c r="Z69" t="str">
        <f t="shared" si="5"/>
        <v>r********s@aol.com</v>
      </c>
    </row>
    <row r="70" spans="1:26" x14ac:dyDescent="0.2">
      <c r="A70" t="s">
        <v>2100</v>
      </c>
      <c r="B70" s="1">
        <v>45370.799687500003</v>
      </c>
      <c r="C70" s="1" t="b">
        <f t="shared" si="3"/>
        <v>0</v>
      </c>
      <c r="D70">
        <v>5</v>
      </c>
      <c r="F70">
        <v>0.45</v>
      </c>
      <c r="G70" s="72">
        <f t="shared" si="4"/>
        <v>0.09</v>
      </c>
      <c r="H70" t="b">
        <v>0</v>
      </c>
      <c r="K70" t="s">
        <v>1278</v>
      </c>
      <c r="L70">
        <v>71457</v>
      </c>
      <c r="N70" t="s">
        <v>1280</v>
      </c>
      <c r="O70" t="s">
        <v>1331</v>
      </c>
      <c r="P70" t="s">
        <v>1280</v>
      </c>
      <c r="Q70">
        <v>4</v>
      </c>
      <c r="R70">
        <v>2027</v>
      </c>
      <c r="S70" t="s">
        <v>2101</v>
      </c>
      <c r="T70" t="s">
        <v>1276</v>
      </c>
      <c r="U70" t="s">
        <v>1278</v>
      </c>
      <c r="V70">
        <v>4007</v>
      </c>
      <c r="X70" t="s">
        <v>2102</v>
      </c>
      <c r="Y70" t="s">
        <v>2103</v>
      </c>
      <c r="Z70" t="str">
        <f t="shared" si="5"/>
        <v>c*****r@yahoo.com</v>
      </c>
    </row>
    <row r="71" spans="1:26" x14ac:dyDescent="0.2">
      <c r="A71" t="s">
        <v>2104</v>
      </c>
      <c r="B71" s="1">
        <v>45370.796643518515</v>
      </c>
      <c r="C71" s="1" t="b">
        <f t="shared" si="3"/>
        <v>0</v>
      </c>
      <c r="D71">
        <v>5</v>
      </c>
      <c r="F71">
        <v>0.45</v>
      </c>
      <c r="G71" s="72">
        <f t="shared" si="4"/>
        <v>0.09</v>
      </c>
      <c r="H71" t="b">
        <v>0</v>
      </c>
      <c r="I71" t="s">
        <v>2105</v>
      </c>
      <c r="J71" t="s">
        <v>2106</v>
      </c>
      <c r="K71" t="s">
        <v>1278</v>
      </c>
      <c r="L71">
        <v>30324</v>
      </c>
      <c r="M71" t="s">
        <v>1280</v>
      </c>
      <c r="N71" t="s">
        <v>1280</v>
      </c>
      <c r="O71" t="s">
        <v>1331</v>
      </c>
      <c r="Q71">
        <v>11</v>
      </c>
      <c r="R71">
        <v>2024</v>
      </c>
      <c r="S71" t="s">
        <v>2107</v>
      </c>
      <c r="T71" t="s">
        <v>1276</v>
      </c>
      <c r="U71" t="s">
        <v>1278</v>
      </c>
      <c r="V71">
        <v>4002</v>
      </c>
      <c r="W71" t="s">
        <v>1299</v>
      </c>
      <c r="X71" t="s">
        <v>2108</v>
      </c>
      <c r="Y71" t="s">
        <v>2109</v>
      </c>
      <c r="Z71" t="str">
        <f t="shared" si="5"/>
        <v>c******y@mindspring.com</v>
      </c>
    </row>
    <row r="72" spans="1:26" x14ac:dyDescent="0.2">
      <c r="A72" t="s">
        <v>2110</v>
      </c>
      <c r="B72" s="1">
        <v>45370.795810185184</v>
      </c>
      <c r="C72" s="1" t="b">
        <f t="shared" si="3"/>
        <v>0</v>
      </c>
      <c r="D72">
        <v>4</v>
      </c>
      <c r="E72" t="s">
        <v>422</v>
      </c>
      <c r="F72">
        <v>0.42</v>
      </c>
      <c r="G72" s="72">
        <f t="shared" si="4"/>
        <v>0.105</v>
      </c>
      <c r="H72" t="b">
        <v>0</v>
      </c>
      <c r="K72" t="s">
        <v>1278</v>
      </c>
      <c r="L72">
        <v>30350</v>
      </c>
      <c r="N72" t="s">
        <v>1280</v>
      </c>
      <c r="O72" t="s">
        <v>1275</v>
      </c>
      <c r="P72" t="s">
        <v>1280</v>
      </c>
      <c r="Q72">
        <v>1</v>
      </c>
      <c r="R72">
        <v>2029</v>
      </c>
      <c r="S72" t="s">
        <v>2111</v>
      </c>
      <c r="T72" t="s">
        <v>1276</v>
      </c>
      <c r="U72" t="s">
        <v>1278</v>
      </c>
      <c r="V72">
        <v>3114</v>
      </c>
      <c r="X72" t="s">
        <v>2112</v>
      </c>
      <c r="Y72" t="s">
        <v>2113</v>
      </c>
      <c r="Z72" t="str">
        <f t="shared" si="5"/>
        <v>e*********2@gmail.com</v>
      </c>
    </row>
    <row r="73" spans="1:26" x14ac:dyDescent="0.2">
      <c r="A73" t="s">
        <v>2114</v>
      </c>
      <c r="B73" s="1">
        <v>45370.790775462963</v>
      </c>
      <c r="C73" s="1" t="b">
        <f t="shared" si="3"/>
        <v>0</v>
      </c>
      <c r="D73">
        <v>5</v>
      </c>
      <c r="F73">
        <v>0.45</v>
      </c>
      <c r="G73" s="72">
        <f t="shared" si="4"/>
        <v>0.09</v>
      </c>
      <c r="H73" t="b">
        <v>0</v>
      </c>
      <c r="K73" t="s">
        <v>1278</v>
      </c>
      <c r="L73">
        <v>80137</v>
      </c>
      <c r="N73" t="s">
        <v>1280</v>
      </c>
      <c r="O73" t="s">
        <v>1284</v>
      </c>
      <c r="P73" t="s">
        <v>1280</v>
      </c>
      <c r="Q73">
        <v>3</v>
      </c>
      <c r="R73">
        <v>2026</v>
      </c>
      <c r="S73" t="s">
        <v>2115</v>
      </c>
      <c r="T73" t="s">
        <v>1307</v>
      </c>
      <c r="U73" t="s">
        <v>1278</v>
      </c>
      <c r="V73">
        <v>1514</v>
      </c>
      <c r="X73" t="s">
        <v>2116</v>
      </c>
      <c r="Y73" t="s">
        <v>2117</v>
      </c>
      <c r="Z73" t="str">
        <f t="shared" si="5"/>
        <v>m*************n@gmail.com</v>
      </c>
    </row>
    <row r="74" spans="1:26" x14ac:dyDescent="0.2">
      <c r="A74" t="s">
        <v>2118</v>
      </c>
      <c r="B74" s="1">
        <v>45370.789502314816</v>
      </c>
      <c r="C74" s="1" t="b">
        <f t="shared" si="3"/>
        <v>0</v>
      </c>
      <c r="D74">
        <v>4</v>
      </c>
      <c r="E74" t="s">
        <v>422</v>
      </c>
      <c r="F74">
        <v>0.42</v>
      </c>
      <c r="G74" s="72">
        <f t="shared" si="4"/>
        <v>0.105</v>
      </c>
      <c r="H74" t="b">
        <v>1</v>
      </c>
      <c r="K74" t="s">
        <v>1278</v>
      </c>
      <c r="L74">
        <v>19020</v>
      </c>
      <c r="N74" t="s">
        <v>1280</v>
      </c>
      <c r="O74" t="s">
        <v>1275</v>
      </c>
      <c r="P74" t="s">
        <v>1280</v>
      </c>
      <c r="Q74">
        <v>3</v>
      </c>
      <c r="R74">
        <v>2026</v>
      </c>
      <c r="S74" t="s">
        <v>1773</v>
      </c>
      <c r="T74" t="s">
        <v>1307</v>
      </c>
      <c r="U74" t="s">
        <v>1278</v>
      </c>
      <c r="V74">
        <v>3647</v>
      </c>
      <c r="W74" t="s">
        <v>1864</v>
      </c>
      <c r="X74" t="s">
        <v>2119</v>
      </c>
      <c r="Y74" t="s">
        <v>1207</v>
      </c>
      <c r="Z74" t="str">
        <f t="shared" si="5"/>
        <v>b******a@gmail.com</v>
      </c>
    </row>
    <row r="75" spans="1:26" x14ac:dyDescent="0.2">
      <c r="A75" t="s">
        <v>2120</v>
      </c>
      <c r="B75" s="1">
        <v>45370.779456018521</v>
      </c>
      <c r="C75" s="1" t="b">
        <f t="shared" si="3"/>
        <v>0</v>
      </c>
      <c r="D75">
        <v>5</v>
      </c>
      <c r="F75">
        <v>0.45</v>
      </c>
      <c r="G75" s="72">
        <f t="shared" si="4"/>
        <v>0.09</v>
      </c>
      <c r="H75" t="b">
        <v>1</v>
      </c>
      <c r="K75" t="s">
        <v>1278</v>
      </c>
      <c r="L75">
        <v>21122</v>
      </c>
      <c r="N75" t="s">
        <v>1280</v>
      </c>
      <c r="O75" t="s">
        <v>1275</v>
      </c>
      <c r="P75" t="s">
        <v>1280</v>
      </c>
      <c r="Q75">
        <v>12</v>
      </c>
      <c r="R75">
        <v>2027</v>
      </c>
      <c r="S75" t="s">
        <v>2121</v>
      </c>
      <c r="T75" t="s">
        <v>1276</v>
      </c>
      <c r="U75" t="s">
        <v>1278</v>
      </c>
      <c r="V75">
        <v>5279</v>
      </c>
      <c r="W75" t="s">
        <v>1864</v>
      </c>
      <c r="X75" t="s">
        <v>2122</v>
      </c>
      <c r="Y75" t="s">
        <v>2123</v>
      </c>
      <c r="Z75" t="str">
        <f t="shared" si="5"/>
        <v>k************9@live.com</v>
      </c>
    </row>
    <row r="76" spans="1:26" x14ac:dyDescent="0.2">
      <c r="A76" t="s">
        <v>2124</v>
      </c>
      <c r="B76" s="1">
        <v>45370.770231481481</v>
      </c>
      <c r="C76" s="1" t="b">
        <f t="shared" si="3"/>
        <v>0</v>
      </c>
      <c r="D76">
        <v>5</v>
      </c>
      <c r="F76">
        <v>0.45</v>
      </c>
      <c r="G76" s="72">
        <f t="shared" si="4"/>
        <v>0.09</v>
      </c>
      <c r="H76" t="b">
        <v>0</v>
      </c>
      <c r="I76" t="s">
        <v>2125</v>
      </c>
      <c r="J76" t="s">
        <v>1338</v>
      </c>
      <c r="K76" t="s">
        <v>1278</v>
      </c>
      <c r="L76">
        <v>78613</v>
      </c>
      <c r="M76" t="s">
        <v>1280</v>
      </c>
      <c r="N76" t="s">
        <v>1280</v>
      </c>
      <c r="O76" t="s">
        <v>1331</v>
      </c>
      <c r="Q76">
        <v>11</v>
      </c>
      <c r="R76">
        <v>2024</v>
      </c>
      <c r="S76" t="s">
        <v>2126</v>
      </c>
      <c r="T76" t="s">
        <v>1276</v>
      </c>
      <c r="U76" t="s">
        <v>1278</v>
      </c>
      <c r="V76">
        <v>1004</v>
      </c>
      <c r="W76" t="s">
        <v>1299</v>
      </c>
      <c r="X76" t="s">
        <v>2127</v>
      </c>
      <c r="Y76" t="s">
        <v>2128</v>
      </c>
      <c r="Z76" t="str">
        <f t="shared" si="5"/>
        <v>k*******4@yahoo.com</v>
      </c>
    </row>
    <row r="77" spans="1:26" x14ac:dyDescent="0.2">
      <c r="A77" t="s">
        <v>2129</v>
      </c>
      <c r="B77" s="1">
        <v>45370.767407407409</v>
      </c>
      <c r="C77" s="1" t="b">
        <f t="shared" si="3"/>
        <v>0</v>
      </c>
      <c r="D77">
        <v>5</v>
      </c>
      <c r="F77">
        <v>0.45</v>
      </c>
      <c r="G77" s="72">
        <f t="shared" si="4"/>
        <v>0.09</v>
      </c>
      <c r="H77" t="b">
        <v>0</v>
      </c>
      <c r="K77" t="s">
        <v>1278</v>
      </c>
      <c r="L77">
        <v>55386</v>
      </c>
      <c r="N77" t="s">
        <v>1280</v>
      </c>
      <c r="O77" t="s">
        <v>1275</v>
      </c>
      <c r="P77" t="s">
        <v>1280</v>
      </c>
      <c r="Q77">
        <v>5</v>
      </c>
      <c r="R77">
        <v>2027</v>
      </c>
      <c r="S77" t="s">
        <v>2130</v>
      </c>
      <c r="T77" t="s">
        <v>1276</v>
      </c>
      <c r="U77" t="s">
        <v>1278</v>
      </c>
      <c r="V77">
        <v>2149</v>
      </c>
      <c r="X77" t="s">
        <v>2131</v>
      </c>
      <c r="Y77" t="s">
        <v>2132</v>
      </c>
      <c r="Z77" t="str">
        <f t="shared" si="5"/>
        <v>t********o@gmail.com</v>
      </c>
    </row>
    <row r="78" spans="1:26" x14ac:dyDescent="0.2">
      <c r="A78" t="s">
        <v>2133</v>
      </c>
      <c r="B78" s="1">
        <v>45370.763819444444</v>
      </c>
      <c r="C78" s="1" t="b">
        <f t="shared" si="3"/>
        <v>0</v>
      </c>
      <c r="D78">
        <v>4</v>
      </c>
      <c r="E78" t="s">
        <v>422</v>
      </c>
      <c r="F78">
        <v>0.42</v>
      </c>
      <c r="G78" s="72">
        <f t="shared" si="4"/>
        <v>0.105</v>
      </c>
      <c r="H78" t="b">
        <v>0</v>
      </c>
      <c r="I78" t="s">
        <v>2134</v>
      </c>
      <c r="K78" t="s">
        <v>2135</v>
      </c>
      <c r="L78">
        <v>15234</v>
      </c>
      <c r="M78" t="s">
        <v>2003</v>
      </c>
      <c r="N78" t="s">
        <v>2003</v>
      </c>
      <c r="O78" t="s">
        <v>1284</v>
      </c>
      <c r="Q78">
        <v>2</v>
      </c>
      <c r="R78">
        <v>2025</v>
      </c>
      <c r="S78" t="s">
        <v>2136</v>
      </c>
      <c r="T78" t="s">
        <v>1307</v>
      </c>
      <c r="U78" t="s">
        <v>2135</v>
      </c>
      <c r="V78">
        <v>100</v>
      </c>
      <c r="W78" t="s">
        <v>1299</v>
      </c>
      <c r="X78" t="s">
        <v>2137</v>
      </c>
      <c r="Y78" t="s">
        <v>2138</v>
      </c>
      <c r="Z78" t="str">
        <f t="shared" si="5"/>
        <v>b************s@gmail.com</v>
      </c>
    </row>
    <row r="79" spans="1:26" x14ac:dyDescent="0.2">
      <c r="A79" t="s">
        <v>2139</v>
      </c>
      <c r="B79" s="1">
        <v>45370.763298611113</v>
      </c>
      <c r="C79" s="1" t="b">
        <f t="shared" si="3"/>
        <v>0</v>
      </c>
      <c r="D79">
        <v>5</v>
      </c>
      <c r="F79">
        <v>0.45</v>
      </c>
      <c r="G79" s="72">
        <f t="shared" si="4"/>
        <v>0.09</v>
      </c>
      <c r="H79" t="b">
        <v>1</v>
      </c>
      <c r="K79" t="s">
        <v>1278</v>
      </c>
      <c r="L79">
        <v>64804</v>
      </c>
      <c r="N79" t="s">
        <v>1280</v>
      </c>
      <c r="O79" t="s">
        <v>1284</v>
      </c>
      <c r="P79" t="s">
        <v>1280</v>
      </c>
      <c r="Q79">
        <v>1</v>
      </c>
      <c r="R79">
        <v>2025</v>
      </c>
      <c r="S79" t="s">
        <v>1697</v>
      </c>
      <c r="T79" t="s">
        <v>1307</v>
      </c>
      <c r="U79" t="s">
        <v>1278</v>
      </c>
      <c r="V79">
        <v>4686</v>
      </c>
      <c r="W79" t="s">
        <v>1864</v>
      </c>
      <c r="X79" t="s">
        <v>2140</v>
      </c>
      <c r="Y79" t="s">
        <v>1125</v>
      </c>
      <c r="Z79" t="str">
        <f t="shared" si="5"/>
        <v>d*********s@yahoo.com</v>
      </c>
    </row>
    <row r="80" spans="1:26" x14ac:dyDescent="0.2">
      <c r="A80" t="s">
        <v>2141</v>
      </c>
      <c r="B80" s="1">
        <v>45370.758506944447</v>
      </c>
      <c r="C80" s="1" t="b">
        <f t="shared" si="3"/>
        <v>0</v>
      </c>
      <c r="D80">
        <v>5</v>
      </c>
      <c r="F80">
        <v>0.45</v>
      </c>
      <c r="G80" s="72">
        <f t="shared" si="4"/>
        <v>0.09</v>
      </c>
      <c r="H80" t="b">
        <v>1</v>
      </c>
      <c r="K80" t="s">
        <v>1278</v>
      </c>
      <c r="L80">
        <v>49418</v>
      </c>
      <c r="N80" t="s">
        <v>1280</v>
      </c>
      <c r="O80" t="s">
        <v>1275</v>
      </c>
      <c r="P80" t="s">
        <v>1280</v>
      </c>
      <c r="Q80">
        <v>11</v>
      </c>
      <c r="R80">
        <v>2026</v>
      </c>
      <c r="S80" t="s">
        <v>2142</v>
      </c>
      <c r="T80" t="s">
        <v>1307</v>
      </c>
      <c r="U80" t="s">
        <v>1278</v>
      </c>
      <c r="V80">
        <v>8063</v>
      </c>
      <c r="W80" t="s">
        <v>1864</v>
      </c>
      <c r="X80" t="s">
        <v>2143</v>
      </c>
      <c r="Y80" t="s">
        <v>2144</v>
      </c>
      <c r="Z80" t="str">
        <f t="shared" si="5"/>
        <v>s*********i@sbcglobal.net</v>
      </c>
    </row>
    <row r="81" spans="1:26" x14ac:dyDescent="0.2">
      <c r="A81" t="s">
        <v>2145</v>
      </c>
      <c r="B81" s="1">
        <v>45370.751493055555</v>
      </c>
      <c r="C81" s="1" t="b">
        <f t="shared" si="3"/>
        <v>0</v>
      </c>
      <c r="D81">
        <v>5</v>
      </c>
      <c r="F81">
        <v>0.45</v>
      </c>
      <c r="G81" s="72">
        <f t="shared" si="4"/>
        <v>0.09</v>
      </c>
      <c r="H81" t="b">
        <v>1</v>
      </c>
      <c r="K81" t="s">
        <v>1278</v>
      </c>
      <c r="L81">
        <v>80234</v>
      </c>
      <c r="N81" t="s">
        <v>1280</v>
      </c>
      <c r="O81" t="s">
        <v>1284</v>
      </c>
      <c r="P81" t="s">
        <v>1280</v>
      </c>
      <c r="Q81">
        <v>3</v>
      </c>
      <c r="R81">
        <v>2026</v>
      </c>
      <c r="S81" t="s">
        <v>2146</v>
      </c>
      <c r="T81" t="s">
        <v>1307</v>
      </c>
      <c r="U81" t="s">
        <v>1278</v>
      </c>
      <c r="V81">
        <v>9439</v>
      </c>
      <c r="W81" t="s">
        <v>1864</v>
      </c>
      <c r="X81" t="s">
        <v>2147</v>
      </c>
      <c r="Y81" t="s">
        <v>2148</v>
      </c>
      <c r="Z81" t="str">
        <f t="shared" si="5"/>
        <v>s***********3@gmail.com</v>
      </c>
    </row>
    <row r="82" spans="1:26" x14ac:dyDescent="0.2">
      <c r="A82" t="s">
        <v>2149</v>
      </c>
      <c r="B82" s="1">
        <v>45370.738287037035</v>
      </c>
      <c r="C82" s="1" t="b">
        <f t="shared" si="3"/>
        <v>0</v>
      </c>
      <c r="D82">
        <v>5</v>
      </c>
      <c r="F82">
        <v>0.45</v>
      </c>
      <c r="G82" s="72">
        <f t="shared" si="4"/>
        <v>0.09</v>
      </c>
      <c r="H82" t="b">
        <v>1</v>
      </c>
      <c r="K82" t="s">
        <v>1278</v>
      </c>
      <c r="L82">
        <v>55441</v>
      </c>
      <c r="N82" t="s">
        <v>1280</v>
      </c>
      <c r="O82" t="s">
        <v>1331</v>
      </c>
      <c r="P82" t="s">
        <v>1280</v>
      </c>
      <c r="Q82">
        <v>8</v>
      </c>
      <c r="R82">
        <v>2025</v>
      </c>
      <c r="S82" t="s">
        <v>2150</v>
      </c>
      <c r="T82" t="s">
        <v>1276</v>
      </c>
      <c r="U82" t="s">
        <v>1278</v>
      </c>
      <c r="V82">
        <v>1004</v>
      </c>
      <c r="W82" t="s">
        <v>1864</v>
      </c>
      <c r="X82" t="s">
        <v>2151</v>
      </c>
      <c r="Y82" t="s">
        <v>2152</v>
      </c>
      <c r="Z82" t="str">
        <f t="shared" si="5"/>
        <v>i*****5@gmail.com</v>
      </c>
    </row>
    <row r="83" spans="1:26" x14ac:dyDescent="0.2">
      <c r="A83" t="s">
        <v>2153</v>
      </c>
      <c r="B83" s="1">
        <v>45370.737881944442</v>
      </c>
      <c r="C83" s="1" t="b">
        <f t="shared" si="3"/>
        <v>0</v>
      </c>
      <c r="D83">
        <v>5</v>
      </c>
      <c r="F83">
        <v>0.45</v>
      </c>
      <c r="G83" s="72">
        <f t="shared" si="4"/>
        <v>0.09</v>
      </c>
      <c r="H83" t="b">
        <v>1</v>
      </c>
      <c r="K83" t="s">
        <v>1278</v>
      </c>
      <c r="L83">
        <v>30066</v>
      </c>
      <c r="N83" t="s">
        <v>1280</v>
      </c>
      <c r="O83" t="s">
        <v>1284</v>
      </c>
      <c r="P83" t="s">
        <v>1280</v>
      </c>
      <c r="Q83">
        <v>6</v>
      </c>
      <c r="R83">
        <v>2028</v>
      </c>
      <c r="S83" t="s">
        <v>2154</v>
      </c>
      <c r="T83" t="s">
        <v>1276</v>
      </c>
      <c r="U83" t="s">
        <v>1278</v>
      </c>
      <c r="V83">
        <v>5639</v>
      </c>
      <c r="W83" t="s">
        <v>1864</v>
      </c>
      <c r="X83" t="s">
        <v>2155</v>
      </c>
      <c r="Y83" t="s">
        <v>2156</v>
      </c>
      <c r="Z83" t="str">
        <f t="shared" si="5"/>
        <v>c**********5@gmail.com</v>
      </c>
    </row>
    <row r="84" spans="1:26" x14ac:dyDescent="0.2">
      <c r="A84" t="s">
        <v>2157</v>
      </c>
      <c r="B84" s="1">
        <v>45370.736215277779</v>
      </c>
      <c r="C84" s="1" t="b">
        <f t="shared" si="3"/>
        <v>0</v>
      </c>
      <c r="D84">
        <v>5</v>
      </c>
      <c r="F84">
        <v>0.45</v>
      </c>
      <c r="G84" s="72">
        <f t="shared" si="4"/>
        <v>0.09</v>
      </c>
      <c r="H84" t="b">
        <v>1</v>
      </c>
      <c r="K84" t="s">
        <v>1278</v>
      </c>
      <c r="L84">
        <v>21222</v>
      </c>
      <c r="N84" t="s">
        <v>1280</v>
      </c>
      <c r="O84" t="s">
        <v>1275</v>
      </c>
      <c r="P84" t="s">
        <v>1280</v>
      </c>
      <c r="Q84">
        <v>4</v>
      </c>
      <c r="R84">
        <v>2025</v>
      </c>
      <c r="S84" t="s">
        <v>2158</v>
      </c>
      <c r="T84" t="s">
        <v>1549</v>
      </c>
      <c r="U84" t="s">
        <v>1278</v>
      </c>
      <c r="V84">
        <v>7530</v>
      </c>
      <c r="W84" t="s">
        <v>1864</v>
      </c>
      <c r="X84" t="s">
        <v>2159</v>
      </c>
      <c r="Y84" t="s">
        <v>2160</v>
      </c>
      <c r="Z84" t="str">
        <f t="shared" si="5"/>
        <v>f*****9@gmail.com</v>
      </c>
    </row>
    <row r="85" spans="1:26" x14ac:dyDescent="0.2">
      <c r="A85" t="s">
        <v>2161</v>
      </c>
      <c r="B85" s="1">
        <v>45370.727210648147</v>
      </c>
      <c r="C85" s="1" t="b">
        <f t="shared" si="3"/>
        <v>0</v>
      </c>
      <c r="D85">
        <v>5</v>
      </c>
      <c r="F85">
        <v>0.45</v>
      </c>
      <c r="G85" s="72">
        <f t="shared" si="4"/>
        <v>0.09</v>
      </c>
      <c r="H85" t="b">
        <v>1</v>
      </c>
      <c r="K85" t="s">
        <v>1362</v>
      </c>
      <c r="L85" t="s">
        <v>2162</v>
      </c>
      <c r="N85" t="s">
        <v>1280</v>
      </c>
      <c r="O85" t="s">
        <v>1275</v>
      </c>
      <c r="P85" t="s">
        <v>1280</v>
      </c>
      <c r="Q85">
        <v>1</v>
      </c>
      <c r="R85">
        <v>2025</v>
      </c>
      <c r="S85" t="s">
        <v>2163</v>
      </c>
      <c r="T85" t="s">
        <v>1276</v>
      </c>
      <c r="U85" t="s">
        <v>1362</v>
      </c>
      <c r="V85">
        <v>1014</v>
      </c>
      <c r="W85" t="s">
        <v>1864</v>
      </c>
      <c r="X85" t="s">
        <v>2164</v>
      </c>
      <c r="Y85" t="s">
        <v>2165</v>
      </c>
      <c r="Z85" t="str">
        <f t="shared" si="5"/>
        <v>r********d@rogers.com</v>
      </c>
    </row>
    <row r="86" spans="1:26" x14ac:dyDescent="0.2">
      <c r="A86" t="s">
        <v>2166</v>
      </c>
      <c r="B86" s="1">
        <v>45370.687696759262</v>
      </c>
      <c r="C86" s="1" t="b">
        <f t="shared" si="3"/>
        <v>0</v>
      </c>
      <c r="D86">
        <v>5</v>
      </c>
      <c r="F86">
        <v>0.45</v>
      </c>
      <c r="G86" s="72">
        <f t="shared" si="4"/>
        <v>0.09</v>
      </c>
      <c r="H86" t="b">
        <v>1</v>
      </c>
      <c r="K86" t="s">
        <v>1278</v>
      </c>
      <c r="L86">
        <v>18642</v>
      </c>
      <c r="N86" t="s">
        <v>1280</v>
      </c>
      <c r="O86" t="s">
        <v>1275</v>
      </c>
      <c r="P86" t="s">
        <v>1280</v>
      </c>
      <c r="Q86">
        <v>7</v>
      </c>
      <c r="R86">
        <v>2025</v>
      </c>
      <c r="S86" t="s">
        <v>1738</v>
      </c>
      <c r="T86" t="s">
        <v>1307</v>
      </c>
      <c r="U86" t="s">
        <v>1278</v>
      </c>
      <c r="V86">
        <v>2200</v>
      </c>
      <c r="W86" t="s">
        <v>1864</v>
      </c>
      <c r="X86" t="s">
        <v>2167</v>
      </c>
      <c r="Y86" t="s">
        <v>1165</v>
      </c>
      <c r="Z86" t="str">
        <f t="shared" si="5"/>
        <v>t**********s@aol.com</v>
      </c>
    </row>
    <row r="87" spans="1:26" x14ac:dyDescent="0.2">
      <c r="A87" t="s">
        <v>2168</v>
      </c>
      <c r="B87" s="1">
        <v>45370.586898148147</v>
      </c>
      <c r="C87" s="1" t="b">
        <f t="shared" si="3"/>
        <v>0</v>
      </c>
      <c r="D87">
        <v>5</v>
      </c>
      <c r="F87">
        <v>0.45</v>
      </c>
      <c r="G87" s="72">
        <f t="shared" si="4"/>
        <v>0.09</v>
      </c>
      <c r="H87" t="b">
        <v>0</v>
      </c>
      <c r="K87" t="s">
        <v>1278</v>
      </c>
      <c r="L87">
        <v>29072</v>
      </c>
      <c r="N87" t="s">
        <v>1280</v>
      </c>
      <c r="O87" t="s">
        <v>1275</v>
      </c>
      <c r="P87" t="s">
        <v>1280</v>
      </c>
      <c r="Q87">
        <v>2</v>
      </c>
      <c r="R87">
        <v>2027</v>
      </c>
      <c r="S87" t="s">
        <v>1437</v>
      </c>
      <c r="T87" t="s">
        <v>1307</v>
      </c>
      <c r="U87" t="s">
        <v>1278</v>
      </c>
      <c r="V87">
        <v>2434</v>
      </c>
      <c r="X87" t="s">
        <v>2169</v>
      </c>
      <c r="Y87" t="s">
        <v>302</v>
      </c>
      <c r="Z87" t="str">
        <f t="shared" si="5"/>
        <v>a*********1@gmail.com</v>
      </c>
    </row>
    <row r="88" spans="1:26" x14ac:dyDescent="0.2">
      <c r="A88" t="s">
        <v>2170</v>
      </c>
      <c r="B88" s="1">
        <v>45370.541192129633</v>
      </c>
      <c r="C88" s="1" t="b">
        <f t="shared" si="3"/>
        <v>0</v>
      </c>
      <c r="D88">
        <v>5</v>
      </c>
      <c r="F88">
        <v>0.45</v>
      </c>
      <c r="G88" s="72">
        <f t="shared" si="4"/>
        <v>0.09</v>
      </c>
      <c r="H88" t="b">
        <v>1</v>
      </c>
      <c r="K88" t="s">
        <v>1278</v>
      </c>
      <c r="L88">
        <v>50423</v>
      </c>
      <c r="N88" t="s">
        <v>1280</v>
      </c>
      <c r="O88" t="s">
        <v>1284</v>
      </c>
      <c r="P88" t="s">
        <v>1280</v>
      </c>
      <c r="Q88">
        <v>4</v>
      </c>
      <c r="R88">
        <v>2028</v>
      </c>
      <c r="S88" t="s">
        <v>2171</v>
      </c>
      <c r="T88" t="s">
        <v>1276</v>
      </c>
      <c r="U88" t="s">
        <v>1278</v>
      </c>
      <c r="V88">
        <v>1825</v>
      </c>
      <c r="W88" t="s">
        <v>1864</v>
      </c>
      <c r="X88" t="s">
        <v>2172</v>
      </c>
      <c r="Y88" t="s">
        <v>2173</v>
      </c>
      <c r="Z88" t="str">
        <f t="shared" si="5"/>
        <v>m******6@gmail.com</v>
      </c>
    </row>
    <row r="89" spans="1:26" x14ac:dyDescent="0.2">
      <c r="A89" t="s">
        <v>2174</v>
      </c>
      <c r="B89" s="1">
        <v>45370.432638888888</v>
      </c>
      <c r="C89" s="1" t="b">
        <f t="shared" si="3"/>
        <v>0</v>
      </c>
      <c r="D89">
        <v>5</v>
      </c>
      <c r="F89">
        <v>0.45</v>
      </c>
      <c r="G89" s="72">
        <f t="shared" si="4"/>
        <v>0.09</v>
      </c>
      <c r="H89" t="b">
        <v>0</v>
      </c>
      <c r="K89" t="s">
        <v>1278</v>
      </c>
      <c r="L89">
        <v>30519</v>
      </c>
      <c r="N89" t="s">
        <v>1280</v>
      </c>
      <c r="O89" t="s">
        <v>1275</v>
      </c>
      <c r="P89" t="s">
        <v>1280</v>
      </c>
      <c r="Q89">
        <v>10</v>
      </c>
      <c r="R89">
        <v>2028</v>
      </c>
      <c r="S89" t="s">
        <v>2175</v>
      </c>
      <c r="T89" t="s">
        <v>1307</v>
      </c>
      <c r="U89" t="s">
        <v>1278</v>
      </c>
      <c r="V89">
        <v>8463</v>
      </c>
      <c r="X89" t="s">
        <v>2176</v>
      </c>
      <c r="Y89" t="s">
        <v>2177</v>
      </c>
      <c r="Z89" t="str">
        <f t="shared" si="5"/>
        <v>p*********3@gmail.com</v>
      </c>
    </row>
    <row r="90" spans="1:26" x14ac:dyDescent="0.2">
      <c r="A90" t="s">
        <v>2178</v>
      </c>
      <c r="B90" s="1">
        <v>45370.078611111108</v>
      </c>
      <c r="C90" s="1" t="b">
        <f t="shared" si="3"/>
        <v>0</v>
      </c>
      <c r="D90">
        <v>5</v>
      </c>
      <c r="F90">
        <v>0.45</v>
      </c>
      <c r="G90" s="72">
        <f t="shared" si="4"/>
        <v>0.09</v>
      </c>
      <c r="H90" t="b">
        <v>1</v>
      </c>
      <c r="K90" t="s">
        <v>1278</v>
      </c>
      <c r="L90">
        <v>98052</v>
      </c>
      <c r="N90" t="s">
        <v>1280</v>
      </c>
      <c r="O90" t="s">
        <v>1284</v>
      </c>
      <c r="P90" t="s">
        <v>1280</v>
      </c>
      <c r="Q90">
        <v>7</v>
      </c>
      <c r="R90">
        <v>2028</v>
      </c>
      <c r="S90" t="s">
        <v>2179</v>
      </c>
      <c r="T90" t="s">
        <v>1307</v>
      </c>
      <c r="U90" t="s">
        <v>1278</v>
      </c>
      <c r="V90">
        <v>4915</v>
      </c>
      <c r="W90" t="s">
        <v>1864</v>
      </c>
      <c r="X90" t="s">
        <v>2180</v>
      </c>
      <c r="Y90" t="s">
        <v>2181</v>
      </c>
      <c r="Z90" t="str">
        <f t="shared" si="5"/>
        <v>j**f@kujath.com</v>
      </c>
    </row>
    <row r="91" spans="1:26" x14ac:dyDescent="0.2">
      <c r="A91" t="s">
        <v>2182</v>
      </c>
      <c r="B91" s="1">
        <v>45369.989282407405</v>
      </c>
      <c r="C91" s="1" t="b">
        <f t="shared" si="3"/>
        <v>0</v>
      </c>
      <c r="D91">
        <v>5</v>
      </c>
      <c r="F91">
        <v>0.45</v>
      </c>
      <c r="G91" s="72">
        <f t="shared" si="4"/>
        <v>0.09</v>
      </c>
      <c r="H91" t="b">
        <v>0</v>
      </c>
      <c r="I91" t="s">
        <v>2183</v>
      </c>
      <c r="J91" t="s">
        <v>2184</v>
      </c>
      <c r="K91" t="s">
        <v>1278</v>
      </c>
      <c r="L91">
        <v>80002</v>
      </c>
      <c r="M91" t="s">
        <v>1280</v>
      </c>
      <c r="N91" t="s">
        <v>1280</v>
      </c>
      <c r="O91" t="s">
        <v>1275</v>
      </c>
      <c r="Q91">
        <v>6</v>
      </c>
      <c r="R91">
        <v>2031</v>
      </c>
      <c r="S91" t="s">
        <v>2185</v>
      </c>
      <c r="T91" t="s">
        <v>1276</v>
      </c>
      <c r="U91" t="s">
        <v>1278</v>
      </c>
      <c r="V91">
        <v>1450</v>
      </c>
      <c r="W91" t="s">
        <v>1299</v>
      </c>
      <c r="X91" t="s">
        <v>2186</v>
      </c>
      <c r="Y91" t="s">
        <v>2187</v>
      </c>
      <c r="Z91" t="str">
        <f t="shared" si="5"/>
        <v>t*********n@gmail.com</v>
      </c>
    </row>
    <row r="92" spans="1:26" x14ac:dyDescent="0.2">
      <c r="A92" t="s">
        <v>2188</v>
      </c>
      <c r="B92" s="1">
        <v>45369.680046296293</v>
      </c>
      <c r="C92" s="1" t="b">
        <f t="shared" si="3"/>
        <v>0</v>
      </c>
      <c r="D92">
        <v>5</v>
      </c>
      <c r="F92">
        <v>0.45</v>
      </c>
      <c r="G92" s="72">
        <f t="shared" si="4"/>
        <v>0.09</v>
      </c>
      <c r="H92" t="b">
        <v>1</v>
      </c>
      <c r="K92" t="s">
        <v>1278</v>
      </c>
      <c r="L92">
        <v>48823</v>
      </c>
      <c r="N92" t="s">
        <v>1280</v>
      </c>
      <c r="O92" t="s">
        <v>1331</v>
      </c>
      <c r="P92" t="s">
        <v>1280</v>
      </c>
      <c r="Q92">
        <v>11</v>
      </c>
      <c r="R92">
        <v>2024</v>
      </c>
      <c r="S92" t="s">
        <v>1713</v>
      </c>
      <c r="T92" t="s">
        <v>1276</v>
      </c>
      <c r="U92" t="s">
        <v>1278</v>
      </c>
      <c r="V92">
        <v>8003</v>
      </c>
      <c r="W92" t="s">
        <v>1864</v>
      </c>
      <c r="X92" t="s">
        <v>2189</v>
      </c>
      <c r="Y92" t="s">
        <v>190</v>
      </c>
      <c r="Z92" t="str">
        <f t="shared" si="5"/>
        <v>p*******n@andersoneconomicgroup.com</v>
      </c>
    </row>
    <row r="93" spans="1:26" x14ac:dyDescent="0.2">
      <c r="A93" t="s">
        <v>2190</v>
      </c>
      <c r="B93" s="1">
        <v>45369.659583333334</v>
      </c>
      <c r="C93" s="1" t="b">
        <f t="shared" si="3"/>
        <v>0</v>
      </c>
      <c r="D93">
        <v>4</v>
      </c>
      <c r="E93" t="s">
        <v>422</v>
      </c>
      <c r="F93">
        <v>0.42</v>
      </c>
      <c r="G93" s="72">
        <f t="shared" si="4"/>
        <v>0.105</v>
      </c>
      <c r="H93" t="b">
        <v>0</v>
      </c>
      <c r="K93" t="s">
        <v>1278</v>
      </c>
      <c r="L93">
        <v>19382</v>
      </c>
      <c r="N93" t="s">
        <v>1280</v>
      </c>
      <c r="O93" t="s">
        <v>1331</v>
      </c>
      <c r="P93" t="s">
        <v>1280</v>
      </c>
      <c r="Q93">
        <v>11</v>
      </c>
      <c r="R93">
        <v>2028</v>
      </c>
      <c r="S93" t="s">
        <v>2191</v>
      </c>
      <c r="T93" t="s">
        <v>1276</v>
      </c>
      <c r="U93" t="s">
        <v>1278</v>
      </c>
      <c r="V93">
        <v>7003</v>
      </c>
      <c r="X93" t="s">
        <v>2192</v>
      </c>
      <c r="Y93" t="s">
        <v>150</v>
      </c>
      <c r="Z93" t="str">
        <f t="shared" si="5"/>
        <v>k***********3@gmail.com</v>
      </c>
    </row>
    <row r="94" spans="1:26" x14ac:dyDescent="0.2">
      <c r="A94" t="s">
        <v>2193</v>
      </c>
      <c r="B94" s="1">
        <v>45369.64984953704</v>
      </c>
      <c r="C94" s="1" t="b">
        <f t="shared" si="3"/>
        <v>0</v>
      </c>
      <c r="D94">
        <v>5</v>
      </c>
      <c r="F94">
        <v>0.45</v>
      </c>
      <c r="G94" s="72">
        <f t="shared" si="4"/>
        <v>0.09</v>
      </c>
      <c r="H94" t="b">
        <v>0</v>
      </c>
      <c r="I94" t="s">
        <v>2194</v>
      </c>
      <c r="J94" t="s">
        <v>1362</v>
      </c>
      <c r="K94" t="s">
        <v>1278</v>
      </c>
      <c r="L94">
        <v>93901</v>
      </c>
      <c r="M94" t="s">
        <v>1281</v>
      </c>
      <c r="N94" t="s">
        <v>1281</v>
      </c>
      <c r="O94" t="s">
        <v>1275</v>
      </c>
      <c r="Q94">
        <v>3</v>
      </c>
      <c r="R94">
        <v>2026</v>
      </c>
      <c r="S94" t="s">
        <v>2195</v>
      </c>
      <c r="T94" t="s">
        <v>1307</v>
      </c>
      <c r="U94" t="s">
        <v>1278</v>
      </c>
      <c r="V94">
        <v>9914</v>
      </c>
      <c r="W94" t="s">
        <v>1951</v>
      </c>
      <c r="X94" t="s">
        <v>2196</v>
      </c>
      <c r="Y94" t="s">
        <v>2197</v>
      </c>
      <c r="Z94" t="str">
        <f t="shared" si="5"/>
        <v>c******y@yahoo.com</v>
      </c>
    </row>
    <row r="95" spans="1:26" x14ac:dyDescent="0.2">
      <c r="A95" t="s">
        <v>2198</v>
      </c>
      <c r="B95" s="1">
        <v>45369.611967592595</v>
      </c>
      <c r="C95" s="1" t="b">
        <f t="shared" si="3"/>
        <v>0</v>
      </c>
      <c r="D95">
        <v>5</v>
      </c>
      <c r="F95">
        <v>0.45</v>
      </c>
      <c r="G95" s="72">
        <f t="shared" si="4"/>
        <v>0.09</v>
      </c>
      <c r="H95" t="b">
        <v>0</v>
      </c>
      <c r="K95" t="s">
        <v>1278</v>
      </c>
      <c r="L95">
        <v>48225</v>
      </c>
      <c r="N95" t="s">
        <v>1280</v>
      </c>
      <c r="O95" t="s">
        <v>1275</v>
      </c>
      <c r="P95" t="s">
        <v>1280</v>
      </c>
      <c r="Q95">
        <v>8</v>
      </c>
      <c r="R95">
        <v>2028</v>
      </c>
      <c r="S95" t="s">
        <v>2199</v>
      </c>
      <c r="T95" t="s">
        <v>1276</v>
      </c>
      <c r="U95" t="s">
        <v>1278</v>
      </c>
      <c r="V95">
        <v>9648</v>
      </c>
      <c r="X95" t="s">
        <v>2200</v>
      </c>
      <c r="Y95" t="s">
        <v>2201</v>
      </c>
      <c r="Z95" t="str">
        <f t="shared" si="5"/>
        <v>a*******r@gmail.com</v>
      </c>
    </row>
    <row r="96" spans="1:26" x14ac:dyDescent="0.2">
      <c r="A96" t="s">
        <v>2202</v>
      </c>
      <c r="B96" s="1">
        <v>45369.577800925923</v>
      </c>
      <c r="C96" s="1" t="b">
        <f t="shared" si="3"/>
        <v>1</v>
      </c>
      <c r="D96">
        <v>5</v>
      </c>
      <c r="F96">
        <v>0.45</v>
      </c>
      <c r="G96" s="72">
        <f t="shared" si="4"/>
        <v>0.09</v>
      </c>
      <c r="H96" t="b">
        <v>0</v>
      </c>
      <c r="I96" t="s">
        <v>2203</v>
      </c>
      <c r="J96" t="s">
        <v>1571</v>
      </c>
      <c r="K96" t="s">
        <v>1278</v>
      </c>
      <c r="L96">
        <v>60540</v>
      </c>
      <c r="M96" t="s">
        <v>1280</v>
      </c>
      <c r="N96" t="s">
        <v>1280</v>
      </c>
      <c r="O96" t="s">
        <v>1284</v>
      </c>
      <c r="Q96">
        <v>6</v>
      </c>
      <c r="R96">
        <v>2026</v>
      </c>
      <c r="S96" t="s">
        <v>2204</v>
      </c>
      <c r="T96" t="s">
        <v>1276</v>
      </c>
      <c r="U96" t="s">
        <v>1278</v>
      </c>
      <c r="V96">
        <v>3197</v>
      </c>
      <c r="W96" t="s">
        <v>1299</v>
      </c>
      <c r="X96" t="s">
        <v>2205</v>
      </c>
      <c r="Y96" t="s">
        <v>2206</v>
      </c>
      <c r="Z96" t="str">
        <f t="shared" si="5"/>
        <v>j*******s@gmail.com</v>
      </c>
    </row>
    <row r="97" spans="1:26" x14ac:dyDescent="0.2">
      <c r="A97" t="s">
        <v>2207</v>
      </c>
      <c r="B97" s="1">
        <v>45369.182442129626</v>
      </c>
      <c r="C97" s="1" t="b">
        <f t="shared" si="3"/>
        <v>1</v>
      </c>
      <c r="D97">
        <v>5</v>
      </c>
      <c r="F97">
        <v>0.45</v>
      </c>
      <c r="G97" s="72">
        <f t="shared" si="4"/>
        <v>0.09</v>
      </c>
      <c r="H97" t="b">
        <v>0</v>
      </c>
      <c r="I97" t="s">
        <v>1723</v>
      </c>
      <c r="J97" t="s">
        <v>1670</v>
      </c>
      <c r="K97" t="s">
        <v>1278</v>
      </c>
      <c r="L97">
        <v>55902</v>
      </c>
      <c r="M97" t="s">
        <v>1280</v>
      </c>
      <c r="N97" t="s">
        <v>1280</v>
      </c>
      <c r="O97" t="s">
        <v>1331</v>
      </c>
      <c r="Q97">
        <v>11</v>
      </c>
      <c r="R97">
        <v>2024</v>
      </c>
      <c r="S97" t="s">
        <v>2208</v>
      </c>
      <c r="T97" t="s">
        <v>1276</v>
      </c>
      <c r="U97" t="s">
        <v>1278</v>
      </c>
      <c r="V97">
        <v>5004</v>
      </c>
      <c r="W97" t="s">
        <v>1299</v>
      </c>
      <c r="X97" t="s">
        <v>2209</v>
      </c>
      <c r="Y97" t="s">
        <v>560</v>
      </c>
      <c r="Z97" t="str">
        <f t="shared" si="5"/>
        <v>c************g@gmail.com</v>
      </c>
    </row>
    <row r="98" spans="1:26" x14ac:dyDescent="0.2">
      <c r="A98" t="s">
        <v>2210</v>
      </c>
      <c r="B98" s="1">
        <v>45369.121168981481</v>
      </c>
      <c r="C98" s="1" t="b">
        <f t="shared" si="3"/>
        <v>1</v>
      </c>
      <c r="D98">
        <v>5</v>
      </c>
      <c r="F98">
        <v>0.45</v>
      </c>
      <c r="G98" s="72">
        <f t="shared" si="4"/>
        <v>0.09</v>
      </c>
      <c r="H98" t="b">
        <v>0</v>
      </c>
      <c r="K98" t="s">
        <v>1278</v>
      </c>
      <c r="L98">
        <v>46234</v>
      </c>
      <c r="N98" t="s">
        <v>1280</v>
      </c>
      <c r="O98" t="s">
        <v>1275</v>
      </c>
      <c r="P98" t="s">
        <v>1280</v>
      </c>
      <c r="Q98">
        <v>11</v>
      </c>
      <c r="R98">
        <v>2024</v>
      </c>
      <c r="S98" t="s">
        <v>2211</v>
      </c>
      <c r="T98" t="s">
        <v>1276</v>
      </c>
      <c r="U98" t="s">
        <v>1278</v>
      </c>
      <c r="V98">
        <v>5737</v>
      </c>
      <c r="X98" t="s">
        <v>2212</v>
      </c>
      <c r="Y98" t="s">
        <v>2213</v>
      </c>
      <c r="Z98" t="str">
        <f t="shared" si="5"/>
        <v>c*********8@gmail.com</v>
      </c>
    </row>
    <row r="99" spans="1:26" x14ac:dyDescent="0.2">
      <c r="A99" t="s">
        <v>2214</v>
      </c>
      <c r="B99" s="1">
        <v>45369.101863425924</v>
      </c>
      <c r="C99" s="1" t="b">
        <f t="shared" si="3"/>
        <v>1</v>
      </c>
      <c r="D99">
        <v>5</v>
      </c>
      <c r="F99">
        <v>0.45</v>
      </c>
      <c r="G99" s="72">
        <f t="shared" si="4"/>
        <v>0.09</v>
      </c>
      <c r="H99" t="b">
        <v>0</v>
      </c>
      <c r="K99" t="s">
        <v>1278</v>
      </c>
      <c r="L99">
        <v>54022</v>
      </c>
      <c r="N99" t="s">
        <v>1280</v>
      </c>
      <c r="O99" t="s">
        <v>1284</v>
      </c>
      <c r="P99" t="s">
        <v>1280</v>
      </c>
      <c r="Q99">
        <v>9</v>
      </c>
      <c r="R99">
        <v>2024</v>
      </c>
      <c r="S99" t="s">
        <v>1510</v>
      </c>
      <c r="T99" t="s">
        <v>1276</v>
      </c>
      <c r="U99" t="s">
        <v>1278</v>
      </c>
      <c r="V99">
        <v>384</v>
      </c>
      <c r="X99" t="s">
        <v>2215</v>
      </c>
      <c r="Y99" t="s">
        <v>86</v>
      </c>
      <c r="Z99" t="str">
        <f t="shared" si="5"/>
        <v>d******n@comcast.net</v>
      </c>
    </row>
    <row r="100" spans="1:26" x14ac:dyDescent="0.2">
      <c r="A100" t="s">
        <v>2216</v>
      </c>
      <c r="B100" s="1">
        <v>45369.052534722221</v>
      </c>
      <c r="C100" s="1" t="b">
        <f t="shared" si="3"/>
        <v>1</v>
      </c>
      <c r="D100">
        <v>5</v>
      </c>
      <c r="F100">
        <v>0.45</v>
      </c>
      <c r="G100" s="72">
        <f t="shared" si="4"/>
        <v>0.09</v>
      </c>
      <c r="H100" t="b">
        <v>1</v>
      </c>
      <c r="K100" t="s">
        <v>1278</v>
      </c>
      <c r="L100">
        <v>34236</v>
      </c>
      <c r="N100" t="s">
        <v>1280</v>
      </c>
      <c r="O100" t="s">
        <v>1284</v>
      </c>
      <c r="P100" t="s">
        <v>1280</v>
      </c>
      <c r="Q100">
        <v>6</v>
      </c>
      <c r="R100">
        <v>2028</v>
      </c>
      <c r="S100" t="s">
        <v>2217</v>
      </c>
      <c r="T100" t="s">
        <v>1276</v>
      </c>
      <c r="U100" t="s">
        <v>1278</v>
      </c>
      <c r="V100">
        <v>6664</v>
      </c>
      <c r="W100" t="s">
        <v>1864</v>
      </c>
      <c r="X100" t="s">
        <v>2218</v>
      </c>
      <c r="Y100" t="s">
        <v>872</v>
      </c>
      <c r="Z100" t="str">
        <f t="shared" si="5"/>
        <v>g*******n@ericksonpartners.com</v>
      </c>
    </row>
    <row r="101" spans="1:26" x14ac:dyDescent="0.2">
      <c r="A101" t="s">
        <v>2219</v>
      </c>
      <c r="B101" s="1">
        <v>45368.999895833331</v>
      </c>
      <c r="C101" s="1" t="b">
        <f t="shared" si="3"/>
        <v>1</v>
      </c>
      <c r="D101">
        <v>5</v>
      </c>
      <c r="F101">
        <v>0.45</v>
      </c>
      <c r="G101" s="72">
        <f t="shared" si="4"/>
        <v>0.09</v>
      </c>
      <c r="H101" t="b">
        <v>1</v>
      </c>
      <c r="I101" t="s">
        <v>2220</v>
      </c>
      <c r="J101" t="s">
        <v>1401</v>
      </c>
      <c r="K101" t="s">
        <v>1278</v>
      </c>
      <c r="L101">
        <v>49525</v>
      </c>
      <c r="M101" t="s">
        <v>1280</v>
      </c>
      <c r="N101" t="s">
        <v>1280</v>
      </c>
      <c r="O101" t="s">
        <v>1284</v>
      </c>
      <c r="P101" t="s">
        <v>1280</v>
      </c>
      <c r="Q101">
        <v>9</v>
      </c>
      <c r="R101">
        <v>2024</v>
      </c>
      <c r="S101" t="s">
        <v>2221</v>
      </c>
      <c r="T101" t="s">
        <v>1276</v>
      </c>
      <c r="U101" t="s">
        <v>1278</v>
      </c>
      <c r="V101">
        <v>1735</v>
      </c>
      <c r="W101" t="s">
        <v>1864</v>
      </c>
      <c r="X101" t="s">
        <v>2222</v>
      </c>
      <c r="Y101" t="s">
        <v>2223</v>
      </c>
      <c r="Z101" t="str">
        <f t="shared" si="5"/>
        <v>d*****j@gmail.com</v>
      </c>
    </row>
    <row r="102" spans="1:26" x14ac:dyDescent="0.2">
      <c r="A102" t="s">
        <v>2224</v>
      </c>
      <c r="B102" s="1">
        <v>45368.905300925922</v>
      </c>
      <c r="C102" s="1" t="b">
        <f t="shared" si="3"/>
        <v>1</v>
      </c>
      <c r="D102">
        <v>5</v>
      </c>
      <c r="F102">
        <v>0.45</v>
      </c>
      <c r="G102" s="72">
        <f t="shared" si="4"/>
        <v>0.09</v>
      </c>
      <c r="H102" t="b">
        <v>1</v>
      </c>
      <c r="K102" t="s">
        <v>1278</v>
      </c>
      <c r="L102">
        <v>65109</v>
      </c>
      <c r="N102" t="s">
        <v>1280</v>
      </c>
      <c r="O102" t="s">
        <v>1331</v>
      </c>
      <c r="P102" t="s">
        <v>1280</v>
      </c>
      <c r="Q102">
        <v>2</v>
      </c>
      <c r="R102">
        <v>2029</v>
      </c>
      <c r="S102" t="s">
        <v>2225</v>
      </c>
      <c r="T102" t="s">
        <v>1276</v>
      </c>
      <c r="U102" t="s">
        <v>1278</v>
      </c>
      <c r="V102">
        <v>6006</v>
      </c>
      <c r="W102" t="s">
        <v>1864</v>
      </c>
      <c r="X102" t="s">
        <v>2226</v>
      </c>
      <c r="Y102" t="s">
        <v>2227</v>
      </c>
      <c r="Z102" t="str">
        <f t="shared" si="5"/>
        <v>d*******d@gmail.com</v>
      </c>
    </row>
    <row r="103" spans="1:26" x14ac:dyDescent="0.2">
      <c r="A103" t="s">
        <v>2228</v>
      </c>
      <c r="B103" s="1">
        <v>45368.016099537039</v>
      </c>
      <c r="C103" s="1" t="b">
        <f t="shared" si="3"/>
        <v>1</v>
      </c>
      <c r="D103">
        <v>5</v>
      </c>
      <c r="F103">
        <v>0.45</v>
      </c>
      <c r="G103" s="72">
        <f t="shared" si="4"/>
        <v>0.09</v>
      </c>
      <c r="H103" t="b">
        <v>0</v>
      </c>
      <c r="K103" t="s">
        <v>1278</v>
      </c>
      <c r="L103">
        <v>43081</v>
      </c>
      <c r="N103" t="s">
        <v>1280</v>
      </c>
      <c r="O103" t="s">
        <v>1275</v>
      </c>
      <c r="P103" t="s">
        <v>1280</v>
      </c>
      <c r="Q103">
        <v>7</v>
      </c>
      <c r="R103">
        <v>2025</v>
      </c>
      <c r="S103" t="s">
        <v>2229</v>
      </c>
      <c r="T103" t="s">
        <v>1276</v>
      </c>
      <c r="U103" t="s">
        <v>1278</v>
      </c>
      <c r="V103">
        <v>8983</v>
      </c>
      <c r="X103" t="s">
        <v>2230</v>
      </c>
      <c r="Y103" t="s">
        <v>2231</v>
      </c>
      <c r="Z103" t="str">
        <f t="shared" si="5"/>
        <v>t*****y@gmail.com</v>
      </c>
    </row>
    <row r="104" spans="1:26" x14ac:dyDescent="0.2">
      <c r="A104" t="s">
        <v>2232</v>
      </c>
      <c r="B104" s="1">
        <v>45366.079710648148</v>
      </c>
      <c r="C104" s="1" t="b">
        <f t="shared" si="3"/>
        <v>1</v>
      </c>
      <c r="D104">
        <v>5</v>
      </c>
      <c r="F104">
        <v>0.45</v>
      </c>
      <c r="G104" s="72">
        <f t="shared" si="4"/>
        <v>0.09</v>
      </c>
      <c r="H104" t="b">
        <v>0</v>
      </c>
      <c r="I104" t="s">
        <v>2233</v>
      </c>
      <c r="J104" t="s">
        <v>1401</v>
      </c>
      <c r="K104" t="s">
        <v>1278</v>
      </c>
      <c r="L104">
        <v>48895</v>
      </c>
      <c r="M104" t="s">
        <v>1280</v>
      </c>
      <c r="N104" t="s">
        <v>1280</v>
      </c>
      <c r="O104" t="s">
        <v>1275</v>
      </c>
      <c r="Q104">
        <v>3</v>
      </c>
      <c r="R104">
        <v>2027</v>
      </c>
      <c r="S104" t="s">
        <v>2234</v>
      </c>
      <c r="T104" t="s">
        <v>1276</v>
      </c>
      <c r="U104" t="s">
        <v>1278</v>
      </c>
      <c r="V104">
        <v>3944</v>
      </c>
      <c r="W104" t="s">
        <v>1299</v>
      </c>
      <c r="X104" t="s">
        <v>2235</v>
      </c>
      <c r="Y104" t="s">
        <v>2236</v>
      </c>
      <c r="Z104" t="str">
        <f t="shared" si="5"/>
        <v>b******n@gmail.com</v>
      </c>
    </row>
    <row r="105" spans="1:26" x14ac:dyDescent="0.2">
      <c r="A105" t="s">
        <v>2237</v>
      </c>
      <c r="B105" s="1">
        <v>45365.578206018516</v>
      </c>
      <c r="C105" s="1" t="b">
        <f t="shared" si="3"/>
        <v>1</v>
      </c>
      <c r="D105">
        <v>5</v>
      </c>
      <c r="F105">
        <v>0.45</v>
      </c>
      <c r="G105" s="72">
        <f t="shared" si="4"/>
        <v>0.09</v>
      </c>
      <c r="H105" t="b">
        <v>1</v>
      </c>
      <c r="K105" t="s">
        <v>1278</v>
      </c>
      <c r="L105">
        <v>78250</v>
      </c>
      <c r="N105" t="s">
        <v>1280</v>
      </c>
      <c r="O105" t="s">
        <v>1331</v>
      </c>
      <c r="P105" t="s">
        <v>1280</v>
      </c>
      <c r="Q105">
        <v>1</v>
      </c>
      <c r="R105">
        <v>2029</v>
      </c>
      <c r="S105" t="s">
        <v>2238</v>
      </c>
      <c r="T105" t="s">
        <v>1276</v>
      </c>
      <c r="U105" t="s">
        <v>1278</v>
      </c>
      <c r="V105">
        <v>2002</v>
      </c>
      <c r="W105" t="s">
        <v>1864</v>
      </c>
      <c r="X105" t="s">
        <v>2239</v>
      </c>
      <c r="Y105" t="s">
        <v>2240</v>
      </c>
      <c r="Z105" t="str">
        <f t="shared" si="5"/>
        <v>s**********h@yahoo.com</v>
      </c>
    </row>
    <row r="106" spans="1:26" x14ac:dyDescent="0.2">
      <c r="A106" t="s">
        <v>2241</v>
      </c>
      <c r="B106" s="1">
        <v>45365.046261574076</v>
      </c>
      <c r="C106" s="1" t="b">
        <f t="shared" si="3"/>
        <v>1</v>
      </c>
      <c r="D106">
        <v>5</v>
      </c>
      <c r="F106">
        <v>0.45</v>
      </c>
      <c r="G106" s="72">
        <f t="shared" si="4"/>
        <v>0.09</v>
      </c>
      <c r="H106" t="b">
        <v>1</v>
      </c>
      <c r="K106" t="s">
        <v>1278</v>
      </c>
      <c r="L106">
        <v>10023</v>
      </c>
      <c r="N106" t="s">
        <v>1280</v>
      </c>
      <c r="O106" t="s">
        <v>1331</v>
      </c>
      <c r="P106" t="s">
        <v>1280</v>
      </c>
      <c r="Q106">
        <v>5</v>
      </c>
      <c r="R106">
        <v>2027</v>
      </c>
      <c r="S106" t="s">
        <v>2242</v>
      </c>
      <c r="T106" t="s">
        <v>1276</v>
      </c>
      <c r="U106" t="s">
        <v>1278</v>
      </c>
      <c r="V106">
        <v>2006</v>
      </c>
      <c r="W106" t="s">
        <v>1864</v>
      </c>
      <c r="X106" t="s">
        <v>2243</v>
      </c>
      <c r="Y106" t="s">
        <v>2244</v>
      </c>
      <c r="Z106" t="str">
        <f t="shared" si="5"/>
        <v>d*n@dangerstein.com</v>
      </c>
    </row>
    <row r="107" spans="1:26" x14ac:dyDescent="0.2">
      <c r="A107" t="s">
        <v>2245</v>
      </c>
      <c r="B107" s="1">
        <v>45365.037395833337</v>
      </c>
      <c r="C107" s="1" t="b">
        <f t="shared" si="3"/>
        <v>1</v>
      </c>
      <c r="D107">
        <v>5</v>
      </c>
      <c r="F107">
        <v>0.45</v>
      </c>
      <c r="G107" s="72">
        <f t="shared" si="4"/>
        <v>0.09</v>
      </c>
      <c r="H107" t="b">
        <v>1</v>
      </c>
      <c r="K107" t="s">
        <v>1278</v>
      </c>
      <c r="L107">
        <v>97015</v>
      </c>
      <c r="N107" t="s">
        <v>1280</v>
      </c>
      <c r="O107" t="s">
        <v>1284</v>
      </c>
      <c r="P107" t="s">
        <v>1280</v>
      </c>
      <c r="Q107">
        <v>11</v>
      </c>
      <c r="R107">
        <v>2027</v>
      </c>
      <c r="S107" t="s">
        <v>2246</v>
      </c>
      <c r="T107" t="s">
        <v>1549</v>
      </c>
      <c r="U107" t="s">
        <v>1278</v>
      </c>
      <c r="V107">
        <v>7857</v>
      </c>
      <c r="W107" t="s">
        <v>1864</v>
      </c>
      <c r="X107" t="s">
        <v>2247</v>
      </c>
      <c r="Y107" t="s">
        <v>2248</v>
      </c>
      <c r="Z107" t="str">
        <f t="shared" si="5"/>
        <v>h******4@gmail.com</v>
      </c>
    </row>
    <row r="108" spans="1:26" x14ac:dyDescent="0.2">
      <c r="A108" t="s">
        <v>2249</v>
      </c>
      <c r="B108" s="1">
        <v>45362.890393518515</v>
      </c>
      <c r="C108" s="1" t="b">
        <f t="shared" si="3"/>
        <v>1</v>
      </c>
      <c r="D108">
        <v>4</v>
      </c>
      <c r="E108" t="s">
        <v>423</v>
      </c>
      <c r="F108">
        <v>0.42</v>
      </c>
      <c r="G108" s="72">
        <f t="shared" si="4"/>
        <v>0.105</v>
      </c>
      <c r="H108" t="b">
        <v>1</v>
      </c>
      <c r="I108" t="s">
        <v>2250</v>
      </c>
      <c r="J108" t="s">
        <v>1297</v>
      </c>
      <c r="K108" t="s">
        <v>1278</v>
      </c>
      <c r="L108">
        <v>11216</v>
      </c>
      <c r="M108" t="s">
        <v>1280</v>
      </c>
      <c r="N108" t="s">
        <v>1280</v>
      </c>
      <c r="O108" t="s">
        <v>1275</v>
      </c>
      <c r="P108" t="s">
        <v>1280</v>
      </c>
      <c r="Q108">
        <v>8</v>
      </c>
      <c r="R108">
        <v>2028</v>
      </c>
      <c r="S108" t="s">
        <v>2251</v>
      </c>
      <c r="T108" t="s">
        <v>1276</v>
      </c>
      <c r="U108" t="s">
        <v>1278</v>
      </c>
      <c r="V108">
        <v>9497</v>
      </c>
      <c r="W108" t="s">
        <v>1864</v>
      </c>
      <c r="X108" t="s">
        <v>2252</v>
      </c>
      <c r="Y108" t="s">
        <v>2253</v>
      </c>
      <c r="Z108" t="str">
        <f t="shared" si="5"/>
        <v>s************n@gmail.com</v>
      </c>
    </row>
    <row r="109" spans="1:26" x14ac:dyDescent="0.2">
      <c r="A109" t="s">
        <v>2254</v>
      </c>
      <c r="B109" s="1">
        <v>45354.774560185186</v>
      </c>
      <c r="C109" s="1" t="b">
        <f t="shared" si="3"/>
        <v>1</v>
      </c>
      <c r="D109">
        <v>5</v>
      </c>
      <c r="F109">
        <v>0.45</v>
      </c>
      <c r="G109" s="72">
        <f t="shared" si="4"/>
        <v>0.09</v>
      </c>
      <c r="H109" t="b">
        <v>0</v>
      </c>
      <c r="K109" t="s">
        <v>1278</v>
      </c>
      <c r="L109">
        <v>97202</v>
      </c>
      <c r="N109" t="s">
        <v>1280</v>
      </c>
      <c r="O109" t="s">
        <v>1284</v>
      </c>
      <c r="P109" t="s">
        <v>1280</v>
      </c>
      <c r="Q109">
        <v>11</v>
      </c>
      <c r="R109">
        <v>2025</v>
      </c>
      <c r="S109" t="s">
        <v>2255</v>
      </c>
      <c r="T109" t="s">
        <v>1276</v>
      </c>
      <c r="U109" t="s">
        <v>1278</v>
      </c>
      <c r="V109">
        <v>7620</v>
      </c>
      <c r="X109" t="s">
        <v>2256</v>
      </c>
      <c r="Y109" t="s">
        <v>2257</v>
      </c>
      <c r="Z109" t="str">
        <f t="shared" si="5"/>
        <v>d**e@gardenfish.net</v>
      </c>
    </row>
    <row r="110" spans="1:26" x14ac:dyDescent="0.2">
      <c r="A110" t="s">
        <v>2258</v>
      </c>
      <c r="B110" s="1">
        <v>45349.020509259259</v>
      </c>
      <c r="C110" s="1" t="b">
        <f t="shared" si="3"/>
        <v>1</v>
      </c>
      <c r="D110">
        <v>5</v>
      </c>
      <c r="F110">
        <v>0.45</v>
      </c>
      <c r="G110" s="72">
        <f t="shared" si="4"/>
        <v>0.09</v>
      </c>
      <c r="H110" t="b">
        <v>1</v>
      </c>
      <c r="K110" t="s">
        <v>1278</v>
      </c>
      <c r="L110">
        <v>95628</v>
      </c>
      <c r="N110" t="s">
        <v>1280</v>
      </c>
      <c r="O110" t="s">
        <v>1275</v>
      </c>
      <c r="P110" t="s">
        <v>1280</v>
      </c>
      <c r="Q110">
        <v>8</v>
      </c>
      <c r="R110">
        <v>2026</v>
      </c>
      <c r="S110" t="s">
        <v>2259</v>
      </c>
      <c r="T110" t="s">
        <v>1307</v>
      </c>
      <c r="U110" t="s">
        <v>1278</v>
      </c>
      <c r="V110">
        <v>1152</v>
      </c>
      <c r="W110" t="s">
        <v>1864</v>
      </c>
      <c r="X110" t="s">
        <v>2260</v>
      </c>
      <c r="Y110" t="s">
        <v>2261</v>
      </c>
      <c r="Z110" t="str">
        <f t="shared" si="5"/>
        <v>j***s@doyle.ninja</v>
      </c>
    </row>
  </sheetData>
  <autoFilter ref="A1:Z110" xr:uid="{05D62559-F0F4-AB46-A435-7DB1F63A3D65}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4D65-D0F9-4525-ACD1-7C8BAE8EB0B6}">
  <dimension ref="A1:BF13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0.83203125" bestFit="1" customWidth="1"/>
    <col min="2" max="2" width="10.1640625" bestFit="1" customWidth="1"/>
    <col min="3" max="3" width="16.83203125" bestFit="1" customWidth="1"/>
    <col min="4" max="4" width="14.6640625" bestFit="1" customWidth="1"/>
    <col min="5" max="5" width="7.5" bestFit="1" customWidth="1"/>
    <col min="6" max="6" width="10.1640625" bestFit="1" customWidth="1"/>
    <col min="7" max="7" width="15.83203125" bestFit="1" customWidth="1"/>
    <col min="8" max="8" width="8.1640625" bestFit="1" customWidth="1"/>
    <col min="9" max="9" width="16.5" bestFit="1" customWidth="1"/>
    <col min="10" max="10" width="24.83203125" bestFit="1" customWidth="1"/>
    <col min="11" max="11" width="5" bestFit="1" customWidth="1"/>
    <col min="12" max="12" width="11.83203125" bestFit="1" customWidth="1"/>
    <col min="13" max="13" width="17.33203125" bestFit="1" customWidth="1"/>
    <col min="14" max="14" width="5.83203125" bestFit="1" customWidth="1"/>
    <col min="15" max="15" width="8.83203125" bestFit="1" customWidth="1"/>
    <col min="16" max="16" width="18.5" bestFit="1" customWidth="1"/>
    <col min="17" max="17" width="22.1640625" bestFit="1" customWidth="1"/>
    <col min="18" max="18" width="18.83203125" bestFit="1" customWidth="1"/>
    <col min="19" max="19" width="36.33203125" bestFit="1" customWidth="1"/>
    <col min="20" max="20" width="8.5" bestFit="1" customWidth="1"/>
    <col min="21" max="21" width="31.6640625" bestFit="1" customWidth="1"/>
    <col min="22" max="22" width="9.5" bestFit="1" customWidth="1"/>
    <col min="23" max="23" width="15.33203125" bestFit="1" customWidth="1"/>
    <col min="24" max="24" width="11.5" bestFit="1" customWidth="1"/>
    <col min="25" max="25" width="14.1640625" bestFit="1" customWidth="1"/>
    <col min="26" max="26" width="12.1640625" bestFit="1" customWidth="1"/>
    <col min="27" max="27" width="21.33203125" bestFit="1" customWidth="1"/>
    <col min="28" max="28" width="29.1640625" bestFit="1" customWidth="1"/>
    <col min="29" max="29" width="16.5" bestFit="1" customWidth="1"/>
    <col min="30" max="30" width="15.1640625" bestFit="1" customWidth="1"/>
    <col min="31" max="31" width="16.33203125" bestFit="1" customWidth="1"/>
    <col min="32" max="32" width="18.6640625" bestFit="1" customWidth="1"/>
    <col min="33" max="33" width="14.5" bestFit="1" customWidth="1"/>
    <col min="34" max="34" width="16.33203125" bestFit="1" customWidth="1"/>
    <col min="35" max="35" width="20.5" bestFit="1" customWidth="1"/>
    <col min="36" max="36" width="14.1640625" bestFit="1" customWidth="1"/>
    <col min="37" max="37" width="16.6640625" bestFit="1" customWidth="1"/>
    <col min="38" max="38" width="18.83203125" bestFit="1" customWidth="1"/>
    <col min="39" max="39" width="22.83203125" bestFit="1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1800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708</v>
      </c>
      <c r="M1" t="s">
        <v>11</v>
      </c>
      <c r="N1" t="s">
        <v>1238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1239</v>
      </c>
      <c r="W1" t="s">
        <v>1240</v>
      </c>
      <c r="X1" t="s">
        <v>1241</v>
      </c>
      <c r="Y1" t="s">
        <v>1242</v>
      </c>
      <c r="Z1" t="s">
        <v>1243</v>
      </c>
      <c r="AA1" t="s">
        <v>1244</v>
      </c>
      <c r="AB1" t="s">
        <v>1245</v>
      </c>
      <c r="AC1" t="s">
        <v>1246</v>
      </c>
      <c r="AD1" t="s">
        <v>1247</v>
      </c>
      <c r="AE1" t="s">
        <v>1248</v>
      </c>
      <c r="AF1" t="s">
        <v>1249</v>
      </c>
      <c r="AG1" t="s">
        <v>1250</v>
      </c>
      <c r="AH1" t="s">
        <v>1251</v>
      </c>
      <c r="AI1" t="s">
        <v>1252</v>
      </c>
      <c r="AJ1" t="s">
        <v>1253</v>
      </c>
      <c r="AK1" t="s">
        <v>1254</v>
      </c>
      <c r="AL1" t="s">
        <v>1255</v>
      </c>
      <c r="AM1" t="s">
        <v>1256</v>
      </c>
      <c r="AN1" t="s">
        <v>1257</v>
      </c>
      <c r="AO1" t="s">
        <v>1258</v>
      </c>
      <c r="AP1" t="s">
        <v>1259</v>
      </c>
      <c r="AQ1" t="s">
        <v>1260</v>
      </c>
      <c r="AR1" t="s">
        <v>1261</v>
      </c>
      <c r="AS1" t="s">
        <v>1262</v>
      </c>
      <c r="AT1" t="s">
        <v>1263</v>
      </c>
      <c r="AU1" t="s">
        <v>1264</v>
      </c>
      <c r="AV1" t="s">
        <v>1265</v>
      </c>
      <c r="AW1" t="s">
        <v>1266</v>
      </c>
      <c r="AX1" t="s">
        <v>1267</v>
      </c>
      <c r="AY1" t="s">
        <v>19</v>
      </c>
      <c r="AZ1" t="s">
        <v>1268</v>
      </c>
      <c r="BA1" t="s">
        <v>1269</v>
      </c>
      <c r="BB1" t="s">
        <v>1270</v>
      </c>
      <c r="BC1" t="s">
        <v>1271</v>
      </c>
      <c r="BD1" t="s">
        <v>20</v>
      </c>
      <c r="BE1" t="s">
        <v>1272</v>
      </c>
      <c r="BF1" t="s">
        <v>1273</v>
      </c>
    </row>
    <row r="2" spans="1:58" x14ac:dyDescent="0.2">
      <c r="A2" t="s">
        <v>709</v>
      </c>
      <c r="C2" t="s">
        <v>22</v>
      </c>
      <c r="D2" s="1">
        <v>45001.663888888892</v>
      </c>
      <c r="E2">
        <v>5</v>
      </c>
      <c r="F2" t="str">
        <f>IF(E2=3.75,"EMAIL",IF(E2=4,"ROTOWIRE","NONE"))</f>
        <v>NONE</v>
      </c>
      <c r="G2">
        <v>0</v>
      </c>
      <c r="H2" t="s">
        <v>23</v>
      </c>
      <c r="I2">
        <v>5</v>
      </c>
      <c r="J2">
        <v>0</v>
      </c>
      <c r="K2">
        <v>0.45</v>
      </c>
      <c r="L2">
        <v>0</v>
      </c>
      <c r="M2" t="s">
        <v>23</v>
      </c>
      <c r="N2" t="s">
        <v>1274</v>
      </c>
      <c r="O2" t="s">
        <v>24</v>
      </c>
      <c r="P2" t="s">
        <v>710</v>
      </c>
      <c r="Q2" t="s">
        <v>711</v>
      </c>
      <c r="S2" t="s">
        <v>712</v>
      </c>
      <c r="T2" t="b">
        <v>1</v>
      </c>
      <c r="U2" t="s">
        <v>713</v>
      </c>
      <c r="V2">
        <v>5163</v>
      </c>
      <c r="W2" t="s">
        <v>1275</v>
      </c>
      <c r="X2" t="s">
        <v>1276</v>
      </c>
      <c r="Y2">
        <v>6</v>
      </c>
      <c r="Z2">
        <v>2027</v>
      </c>
      <c r="AA2" t="s">
        <v>1277</v>
      </c>
      <c r="AF2" t="s">
        <v>1278</v>
      </c>
      <c r="AG2">
        <v>60045</v>
      </c>
      <c r="AH2" t="s">
        <v>1278</v>
      </c>
      <c r="AI2" t="s">
        <v>1279</v>
      </c>
      <c r="AJ2" t="s">
        <v>1280</v>
      </c>
      <c r="AK2" t="s">
        <v>1281</v>
      </c>
      <c r="BA2" t="s">
        <v>1282</v>
      </c>
      <c r="BB2" t="b">
        <v>1</v>
      </c>
      <c r="BF2" t="s">
        <v>1283</v>
      </c>
    </row>
    <row r="3" spans="1:58" x14ac:dyDescent="0.2">
      <c r="A3" t="s">
        <v>714</v>
      </c>
      <c r="C3" t="s">
        <v>22</v>
      </c>
      <c r="D3" s="1">
        <v>45001.661805555559</v>
      </c>
      <c r="E3">
        <v>5</v>
      </c>
      <c r="F3" t="str">
        <f t="shared" ref="F3:F66" si="0">IF(E3=3.75,"EMAIL",IF(E3=4,"ROTOWIRE","NONE"))</f>
        <v>NONE</v>
      </c>
      <c r="G3">
        <v>0</v>
      </c>
      <c r="H3" t="s">
        <v>23</v>
      </c>
      <c r="I3">
        <v>5</v>
      </c>
      <c r="J3">
        <v>0</v>
      </c>
      <c r="K3">
        <v>0.45</v>
      </c>
      <c r="L3">
        <v>0</v>
      </c>
      <c r="M3" t="s">
        <v>23</v>
      </c>
      <c r="N3" t="s">
        <v>1274</v>
      </c>
      <c r="O3" t="s">
        <v>24</v>
      </c>
      <c r="P3" t="s">
        <v>710</v>
      </c>
      <c r="Q3" t="s">
        <v>715</v>
      </c>
      <c r="S3" t="s">
        <v>716</v>
      </c>
      <c r="T3" t="b">
        <v>1</v>
      </c>
      <c r="U3" t="s">
        <v>717</v>
      </c>
      <c r="V3">
        <v>3710</v>
      </c>
      <c r="W3" t="s">
        <v>1284</v>
      </c>
      <c r="X3" t="s">
        <v>1276</v>
      </c>
      <c r="Y3">
        <v>2</v>
      </c>
      <c r="Z3">
        <v>2027</v>
      </c>
      <c r="AA3" t="s">
        <v>1285</v>
      </c>
      <c r="AF3" t="s">
        <v>1278</v>
      </c>
      <c r="AG3">
        <v>77546</v>
      </c>
      <c r="AH3" t="s">
        <v>1278</v>
      </c>
      <c r="AI3" t="s">
        <v>1286</v>
      </c>
      <c r="AJ3" t="s">
        <v>1280</v>
      </c>
      <c r="AK3" t="s">
        <v>1280</v>
      </c>
      <c r="BA3" t="s">
        <v>1282</v>
      </c>
      <c r="BB3" t="b">
        <v>1</v>
      </c>
      <c r="BF3" t="s">
        <v>1287</v>
      </c>
    </row>
    <row r="4" spans="1:58" x14ac:dyDescent="0.2">
      <c r="A4" t="s">
        <v>718</v>
      </c>
      <c r="C4" t="s">
        <v>22</v>
      </c>
      <c r="D4" s="1">
        <v>45001.632638888892</v>
      </c>
      <c r="E4">
        <v>5</v>
      </c>
      <c r="F4" t="str">
        <f t="shared" si="0"/>
        <v>NONE</v>
      </c>
      <c r="G4">
        <v>0</v>
      </c>
      <c r="H4" t="s">
        <v>23</v>
      </c>
      <c r="I4">
        <v>5</v>
      </c>
      <c r="J4">
        <v>0</v>
      </c>
      <c r="K4">
        <v>0.45</v>
      </c>
      <c r="L4">
        <v>0</v>
      </c>
      <c r="M4" t="s">
        <v>23</v>
      </c>
      <c r="N4" t="s">
        <v>1274</v>
      </c>
      <c r="O4" t="s">
        <v>24</v>
      </c>
      <c r="P4" t="s">
        <v>710</v>
      </c>
      <c r="Q4" t="s">
        <v>719</v>
      </c>
      <c r="S4" t="s">
        <v>720</v>
      </c>
      <c r="T4" t="b">
        <v>1</v>
      </c>
      <c r="U4" t="s">
        <v>721</v>
      </c>
      <c r="V4">
        <v>6719</v>
      </c>
      <c r="W4" t="s">
        <v>1275</v>
      </c>
      <c r="X4" t="s">
        <v>1276</v>
      </c>
      <c r="Y4">
        <v>1</v>
      </c>
      <c r="Z4">
        <v>2027</v>
      </c>
      <c r="AA4" t="s">
        <v>1288</v>
      </c>
      <c r="AF4" t="s">
        <v>1278</v>
      </c>
      <c r="AG4">
        <v>27612</v>
      </c>
      <c r="AH4" t="s">
        <v>1278</v>
      </c>
      <c r="AI4" t="s">
        <v>1289</v>
      </c>
      <c r="AJ4" t="s">
        <v>1280</v>
      </c>
      <c r="AK4" t="s">
        <v>1280</v>
      </c>
      <c r="BA4" t="s">
        <v>1282</v>
      </c>
      <c r="BB4" t="b">
        <v>0</v>
      </c>
      <c r="BF4" t="s">
        <v>1290</v>
      </c>
    </row>
    <row r="5" spans="1:58" x14ac:dyDescent="0.2">
      <c r="A5" t="s">
        <v>722</v>
      </c>
      <c r="C5" t="s">
        <v>22</v>
      </c>
      <c r="D5" s="1">
        <v>45001.627083333333</v>
      </c>
      <c r="E5">
        <v>5</v>
      </c>
      <c r="F5" t="str">
        <f t="shared" si="0"/>
        <v>NONE</v>
      </c>
      <c r="G5">
        <v>0</v>
      </c>
      <c r="H5" t="s">
        <v>23</v>
      </c>
      <c r="I5">
        <v>5</v>
      </c>
      <c r="J5">
        <v>0</v>
      </c>
      <c r="K5">
        <v>0.45</v>
      </c>
      <c r="L5">
        <v>0</v>
      </c>
      <c r="M5" t="s">
        <v>23</v>
      </c>
      <c r="N5" t="s">
        <v>1274</v>
      </c>
      <c r="O5" t="s">
        <v>24</v>
      </c>
      <c r="P5" t="s">
        <v>710</v>
      </c>
      <c r="Q5" t="s">
        <v>723</v>
      </c>
      <c r="S5" t="s">
        <v>724</v>
      </c>
      <c r="T5" t="b">
        <v>1</v>
      </c>
      <c r="U5" t="s">
        <v>725</v>
      </c>
      <c r="V5">
        <v>7251</v>
      </c>
      <c r="W5" t="s">
        <v>1284</v>
      </c>
      <c r="X5" t="s">
        <v>1276</v>
      </c>
      <c r="Y5">
        <v>3</v>
      </c>
      <c r="Z5">
        <v>2024</v>
      </c>
      <c r="AA5" t="s">
        <v>1291</v>
      </c>
      <c r="AF5" t="s">
        <v>1278</v>
      </c>
      <c r="AG5">
        <v>75034</v>
      </c>
      <c r="AH5" t="s">
        <v>1278</v>
      </c>
      <c r="AI5" t="s">
        <v>1292</v>
      </c>
      <c r="AJ5" t="s">
        <v>1280</v>
      </c>
      <c r="AK5" t="s">
        <v>1280</v>
      </c>
      <c r="BA5" t="s">
        <v>1282</v>
      </c>
      <c r="BB5" t="b">
        <v>0</v>
      </c>
      <c r="BF5" t="s">
        <v>1293</v>
      </c>
    </row>
    <row r="6" spans="1:58" x14ac:dyDescent="0.2">
      <c r="A6" t="s">
        <v>726</v>
      </c>
      <c r="C6" t="s">
        <v>22</v>
      </c>
      <c r="D6" s="1">
        <v>45001.617361111108</v>
      </c>
      <c r="E6">
        <v>4</v>
      </c>
      <c r="F6" t="str">
        <f t="shared" si="0"/>
        <v>ROTOWIRE</v>
      </c>
      <c r="G6">
        <v>0</v>
      </c>
      <c r="H6" t="s">
        <v>23</v>
      </c>
      <c r="I6">
        <v>4</v>
      </c>
      <c r="J6">
        <v>0</v>
      </c>
      <c r="K6">
        <v>0.42</v>
      </c>
      <c r="L6">
        <v>0</v>
      </c>
      <c r="M6" t="s">
        <v>23</v>
      </c>
      <c r="N6" t="s">
        <v>1274</v>
      </c>
      <c r="O6" t="s">
        <v>24</v>
      </c>
      <c r="P6" t="s">
        <v>710</v>
      </c>
      <c r="Q6" t="s">
        <v>727</v>
      </c>
      <c r="S6" t="s">
        <v>728</v>
      </c>
      <c r="T6" t="b">
        <v>1</v>
      </c>
      <c r="U6" t="s">
        <v>729</v>
      </c>
      <c r="V6">
        <v>5740</v>
      </c>
      <c r="W6" t="s">
        <v>1275</v>
      </c>
      <c r="X6" t="s">
        <v>1276</v>
      </c>
      <c r="Y6">
        <v>12</v>
      </c>
      <c r="Z6">
        <v>2023</v>
      </c>
      <c r="AA6" t="s">
        <v>1294</v>
      </c>
      <c r="AB6" t="s">
        <v>1295</v>
      </c>
      <c r="AD6" t="s">
        <v>1296</v>
      </c>
      <c r="AE6" t="s">
        <v>1297</v>
      </c>
      <c r="AF6" t="s">
        <v>1278</v>
      </c>
      <c r="AG6">
        <v>10704</v>
      </c>
      <c r="AH6" t="s">
        <v>1278</v>
      </c>
      <c r="AI6" t="s">
        <v>1298</v>
      </c>
      <c r="AK6" t="s">
        <v>1280</v>
      </c>
      <c r="AL6" t="s">
        <v>1280</v>
      </c>
      <c r="AM6" t="s">
        <v>1299</v>
      </c>
      <c r="BA6" t="s">
        <v>1282</v>
      </c>
      <c r="BB6" t="b">
        <v>0</v>
      </c>
      <c r="BF6" t="s">
        <v>1300</v>
      </c>
    </row>
    <row r="7" spans="1:58" x14ac:dyDescent="0.2">
      <c r="A7" t="s">
        <v>730</v>
      </c>
      <c r="C7" t="s">
        <v>22</v>
      </c>
      <c r="D7" s="1">
        <v>45001.602083333331</v>
      </c>
      <c r="E7">
        <v>4</v>
      </c>
      <c r="F7" t="str">
        <f t="shared" si="0"/>
        <v>ROTOWIRE</v>
      </c>
      <c r="G7">
        <v>0</v>
      </c>
      <c r="H7" t="s">
        <v>23</v>
      </c>
      <c r="I7">
        <v>4</v>
      </c>
      <c r="J7">
        <v>0</v>
      </c>
      <c r="K7">
        <v>0.42</v>
      </c>
      <c r="L7">
        <v>0</v>
      </c>
      <c r="M7" t="s">
        <v>23</v>
      </c>
      <c r="N7" t="s">
        <v>1274</v>
      </c>
      <c r="O7" t="s">
        <v>24</v>
      </c>
      <c r="P7" t="s">
        <v>710</v>
      </c>
      <c r="Q7" t="s">
        <v>731</v>
      </c>
      <c r="S7" t="s">
        <v>732</v>
      </c>
      <c r="T7" t="b">
        <v>1</v>
      </c>
      <c r="U7" t="s">
        <v>733</v>
      </c>
      <c r="V7">
        <v>213</v>
      </c>
      <c r="W7" t="s">
        <v>1284</v>
      </c>
      <c r="X7" t="s">
        <v>1276</v>
      </c>
      <c r="Y7">
        <v>7</v>
      </c>
      <c r="Z7">
        <v>2026</v>
      </c>
      <c r="AA7" t="s">
        <v>1301</v>
      </c>
      <c r="AB7" t="s">
        <v>1302</v>
      </c>
      <c r="AD7" t="s">
        <v>1303</v>
      </c>
      <c r="AE7" t="s">
        <v>1304</v>
      </c>
      <c r="AF7" t="s">
        <v>1278</v>
      </c>
      <c r="AG7">
        <v>28226</v>
      </c>
      <c r="AH7" t="s">
        <v>1278</v>
      </c>
      <c r="AI7" t="s">
        <v>1305</v>
      </c>
      <c r="AK7" t="s">
        <v>1280</v>
      </c>
      <c r="AL7" t="s">
        <v>1280</v>
      </c>
      <c r="BA7" t="s">
        <v>1282</v>
      </c>
      <c r="BB7" t="b">
        <v>1</v>
      </c>
      <c r="BF7" t="s">
        <v>1306</v>
      </c>
    </row>
    <row r="8" spans="1:58" x14ac:dyDescent="0.2">
      <c r="A8" t="s">
        <v>734</v>
      </c>
      <c r="C8" t="s">
        <v>22</v>
      </c>
      <c r="D8" s="1">
        <v>45001.59375</v>
      </c>
      <c r="E8">
        <v>4</v>
      </c>
      <c r="F8" t="s">
        <v>423</v>
      </c>
      <c r="G8">
        <v>0</v>
      </c>
      <c r="H8" t="s">
        <v>23</v>
      </c>
      <c r="I8">
        <v>4</v>
      </c>
      <c r="J8">
        <v>0</v>
      </c>
      <c r="K8">
        <v>0.42</v>
      </c>
      <c r="L8">
        <v>0</v>
      </c>
      <c r="M8" t="s">
        <v>23</v>
      </c>
      <c r="N8" t="s">
        <v>1274</v>
      </c>
      <c r="O8" t="s">
        <v>24</v>
      </c>
      <c r="P8" t="s">
        <v>710</v>
      </c>
      <c r="Q8" t="s">
        <v>735</v>
      </c>
      <c r="S8" t="s">
        <v>58</v>
      </c>
      <c r="T8" t="b">
        <v>1</v>
      </c>
      <c r="U8" t="s">
        <v>736</v>
      </c>
      <c r="V8">
        <v>9821</v>
      </c>
      <c r="W8" t="s">
        <v>1284</v>
      </c>
      <c r="X8" t="s">
        <v>1307</v>
      </c>
      <c r="Y8">
        <v>9</v>
      </c>
      <c r="Z8">
        <v>2027</v>
      </c>
      <c r="AA8" t="s">
        <v>1308</v>
      </c>
      <c r="AF8" t="s">
        <v>1278</v>
      </c>
      <c r="AG8">
        <v>49504</v>
      </c>
      <c r="AH8" t="s">
        <v>1278</v>
      </c>
      <c r="AI8" t="s">
        <v>1309</v>
      </c>
      <c r="AJ8" t="s">
        <v>1280</v>
      </c>
      <c r="AK8" t="s">
        <v>1280</v>
      </c>
      <c r="BA8" t="s">
        <v>1282</v>
      </c>
      <c r="BB8" t="b">
        <v>0</v>
      </c>
      <c r="BF8" t="s">
        <v>1310</v>
      </c>
    </row>
    <row r="9" spans="1:58" x14ac:dyDescent="0.2">
      <c r="A9" t="s">
        <v>737</v>
      </c>
      <c r="C9" t="s">
        <v>22</v>
      </c>
      <c r="D9" s="1">
        <v>45001.586805555555</v>
      </c>
      <c r="E9">
        <v>3.75</v>
      </c>
      <c r="F9" t="str">
        <f t="shared" si="0"/>
        <v>EMAIL</v>
      </c>
      <c r="G9">
        <v>0</v>
      </c>
      <c r="H9" t="s">
        <v>23</v>
      </c>
      <c r="I9">
        <v>3.75</v>
      </c>
      <c r="J9">
        <v>0</v>
      </c>
      <c r="K9">
        <v>0.41</v>
      </c>
      <c r="L9">
        <v>0</v>
      </c>
      <c r="M9" t="s">
        <v>23</v>
      </c>
      <c r="N9" t="s">
        <v>1274</v>
      </c>
      <c r="O9" t="s">
        <v>24</v>
      </c>
      <c r="P9" t="s">
        <v>710</v>
      </c>
      <c r="Q9" t="s">
        <v>738</v>
      </c>
      <c r="S9" t="s">
        <v>739</v>
      </c>
      <c r="T9" t="b">
        <v>1</v>
      </c>
      <c r="U9" t="s">
        <v>740</v>
      </c>
      <c r="V9">
        <v>9287</v>
      </c>
      <c r="W9" t="s">
        <v>1275</v>
      </c>
      <c r="X9" t="s">
        <v>1307</v>
      </c>
      <c r="Y9">
        <v>4</v>
      </c>
      <c r="Z9">
        <v>2026</v>
      </c>
      <c r="AA9" t="s">
        <v>1311</v>
      </c>
      <c r="AF9" t="s">
        <v>1278</v>
      </c>
      <c r="AG9">
        <v>30062</v>
      </c>
      <c r="AH9" t="s">
        <v>1278</v>
      </c>
      <c r="AI9" t="s">
        <v>1312</v>
      </c>
      <c r="AK9" t="s">
        <v>1280</v>
      </c>
      <c r="BA9" t="s">
        <v>1282</v>
      </c>
      <c r="BB9" t="b">
        <v>1</v>
      </c>
      <c r="BF9" t="s">
        <v>1313</v>
      </c>
    </row>
    <row r="10" spans="1:58" x14ac:dyDescent="0.2">
      <c r="A10" t="s">
        <v>741</v>
      </c>
      <c r="C10" t="s">
        <v>22</v>
      </c>
      <c r="D10" s="1">
        <v>45001.566666666666</v>
      </c>
      <c r="E10">
        <v>5</v>
      </c>
      <c r="F10" t="str">
        <f t="shared" si="0"/>
        <v>NONE</v>
      </c>
      <c r="G10">
        <v>0</v>
      </c>
      <c r="H10" t="s">
        <v>23</v>
      </c>
      <c r="I10">
        <v>5</v>
      </c>
      <c r="J10">
        <v>0</v>
      </c>
      <c r="K10">
        <v>0.45</v>
      </c>
      <c r="L10">
        <v>0</v>
      </c>
      <c r="M10" t="s">
        <v>23</v>
      </c>
      <c r="N10" t="s">
        <v>1274</v>
      </c>
      <c r="O10" t="s">
        <v>24</v>
      </c>
      <c r="P10" t="s">
        <v>710</v>
      </c>
      <c r="Q10" t="s">
        <v>742</v>
      </c>
      <c r="S10" t="s">
        <v>743</v>
      </c>
      <c r="T10" t="b">
        <v>1</v>
      </c>
      <c r="U10" t="s">
        <v>744</v>
      </c>
      <c r="V10">
        <v>6035</v>
      </c>
      <c r="W10" t="s">
        <v>1284</v>
      </c>
      <c r="X10" t="s">
        <v>1307</v>
      </c>
      <c r="Y10">
        <v>7</v>
      </c>
      <c r="Z10">
        <v>2027</v>
      </c>
      <c r="AA10" t="s">
        <v>1314</v>
      </c>
      <c r="AF10" t="s">
        <v>1315</v>
      </c>
      <c r="AH10" t="s">
        <v>1316</v>
      </c>
      <c r="AI10" t="s">
        <v>1317</v>
      </c>
      <c r="AJ10" t="s">
        <v>1280</v>
      </c>
      <c r="BA10" t="s">
        <v>1282</v>
      </c>
      <c r="BB10" t="b">
        <v>0</v>
      </c>
      <c r="BF10" t="s">
        <v>1318</v>
      </c>
    </row>
    <row r="11" spans="1:58" x14ac:dyDescent="0.2">
      <c r="A11" t="s">
        <v>745</v>
      </c>
      <c r="C11" t="s">
        <v>22</v>
      </c>
      <c r="D11" s="1">
        <v>45001.563888888886</v>
      </c>
      <c r="E11">
        <v>4</v>
      </c>
      <c r="F11" t="str">
        <f t="shared" si="0"/>
        <v>ROTOWIRE</v>
      </c>
      <c r="G11">
        <v>0</v>
      </c>
      <c r="H11" t="s">
        <v>23</v>
      </c>
      <c r="I11">
        <v>4</v>
      </c>
      <c r="J11">
        <v>0</v>
      </c>
      <c r="K11">
        <v>0.42</v>
      </c>
      <c r="L11">
        <v>0</v>
      </c>
      <c r="M11" t="s">
        <v>23</v>
      </c>
      <c r="N11" t="s">
        <v>1274</v>
      </c>
      <c r="O11" t="s">
        <v>24</v>
      </c>
      <c r="P11" t="s">
        <v>710</v>
      </c>
      <c r="Q11" t="s">
        <v>746</v>
      </c>
      <c r="S11" t="s">
        <v>747</v>
      </c>
      <c r="T11" t="b">
        <v>1</v>
      </c>
      <c r="U11" t="s">
        <v>748</v>
      </c>
      <c r="V11">
        <v>7114</v>
      </c>
      <c r="W11" t="s">
        <v>1275</v>
      </c>
      <c r="X11" t="s">
        <v>1276</v>
      </c>
      <c r="Y11">
        <v>10</v>
      </c>
      <c r="Z11">
        <v>2027</v>
      </c>
      <c r="AA11" t="s">
        <v>1319</v>
      </c>
      <c r="AF11" t="s">
        <v>1278</v>
      </c>
      <c r="AG11">
        <v>43054</v>
      </c>
      <c r="AH11" t="s">
        <v>1278</v>
      </c>
      <c r="AI11" t="s">
        <v>1320</v>
      </c>
      <c r="AJ11" t="s">
        <v>1280</v>
      </c>
      <c r="AK11" t="s">
        <v>1280</v>
      </c>
      <c r="BA11" t="s">
        <v>1282</v>
      </c>
      <c r="BB11" t="b">
        <v>0</v>
      </c>
      <c r="BF11" t="s">
        <v>1321</v>
      </c>
    </row>
    <row r="12" spans="1:58" x14ac:dyDescent="0.2">
      <c r="A12" t="s">
        <v>749</v>
      </c>
      <c r="C12" t="s">
        <v>22</v>
      </c>
      <c r="D12" s="1">
        <v>45001.554861111108</v>
      </c>
      <c r="E12">
        <v>4</v>
      </c>
      <c r="F12" t="str">
        <f t="shared" si="0"/>
        <v>ROTOWIRE</v>
      </c>
      <c r="G12">
        <v>0</v>
      </c>
      <c r="H12" t="s">
        <v>23</v>
      </c>
      <c r="I12">
        <v>4</v>
      </c>
      <c r="J12">
        <v>0</v>
      </c>
      <c r="K12">
        <v>0.42</v>
      </c>
      <c r="L12">
        <v>0</v>
      </c>
      <c r="M12" t="s">
        <v>23</v>
      </c>
      <c r="N12" t="s">
        <v>1274</v>
      </c>
      <c r="O12" t="s">
        <v>24</v>
      </c>
      <c r="P12" t="s">
        <v>710</v>
      </c>
      <c r="Q12" t="s">
        <v>750</v>
      </c>
      <c r="S12" t="s">
        <v>751</v>
      </c>
      <c r="T12" t="b">
        <v>1</v>
      </c>
      <c r="U12" t="s">
        <v>752</v>
      </c>
      <c r="V12">
        <v>7682</v>
      </c>
      <c r="W12" t="s">
        <v>1275</v>
      </c>
      <c r="X12" t="s">
        <v>1307</v>
      </c>
      <c r="Y12">
        <v>11</v>
      </c>
      <c r="Z12">
        <v>2024</v>
      </c>
      <c r="AA12" t="s">
        <v>1322</v>
      </c>
      <c r="AF12" t="s">
        <v>1278</v>
      </c>
      <c r="AG12">
        <v>19067</v>
      </c>
      <c r="AH12" t="s">
        <v>1278</v>
      </c>
      <c r="AI12" t="s">
        <v>1323</v>
      </c>
      <c r="AJ12" t="s">
        <v>1280</v>
      </c>
      <c r="AK12" t="s">
        <v>1280</v>
      </c>
      <c r="BA12" t="s">
        <v>1282</v>
      </c>
      <c r="BB12" t="b">
        <v>0</v>
      </c>
      <c r="BF12" t="s">
        <v>1324</v>
      </c>
    </row>
    <row r="13" spans="1:58" x14ac:dyDescent="0.2">
      <c r="A13" t="s">
        <v>753</v>
      </c>
      <c r="C13" t="s">
        <v>22</v>
      </c>
      <c r="D13" s="1">
        <v>45001.136805555558</v>
      </c>
      <c r="E13">
        <v>5</v>
      </c>
      <c r="F13" t="str">
        <f t="shared" si="0"/>
        <v>NONE</v>
      </c>
      <c r="G13">
        <v>0</v>
      </c>
      <c r="H13" t="s">
        <v>23</v>
      </c>
      <c r="I13">
        <v>5</v>
      </c>
      <c r="J13">
        <v>0</v>
      </c>
      <c r="K13">
        <v>0.45</v>
      </c>
      <c r="L13">
        <v>0</v>
      </c>
      <c r="M13" t="s">
        <v>23</v>
      </c>
      <c r="N13" t="s">
        <v>1274</v>
      </c>
      <c r="O13" t="s">
        <v>24</v>
      </c>
      <c r="P13" t="s">
        <v>710</v>
      </c>
      <c r="Q13" t="s">
        <v>754</v>
      </c>
      <c r="S13" t="s">
        <v>755</v>
      </c>
      <c r="T13" t="b">
        <v>1</v>
      </c>
      <c r="U13" t="s">
        <v>756</v>
      </c>
      <c r="V13">
        <v>5148</v>
      </c>
      <c r="W13" t="s">
        <v>1275</v>
      </c>
      <c r="X13" t="s">
        <v>1276</v>
      </c>
      <c r="Y13">
        <v>1</v>
      </c>
      <c r="Z13">
        <v>2026</v>
      </c>
      <c r="AA13" t="s">
        <v>1325</v>
      </c>
      <c r="AF13" t="s">
        <v>1278</v>
      </c>
      <c r="AG13">
        <v>98335</v>
      </c>
      <c r="AH13" t="s">
        <v>1278</v>
      </c>
      <c r="AI13" t="s">
        <v>1326</v>
      </c>
      <c r="AJ13" t="s">
        <v>1280</v>
      </c>
      <c r="AK13" t="s">
        <v>1280</v>
      </c>
      <c r="BA13" t="s">
        <v>1282</v>
      </c>
      <c r="BB13" t="b">
        <v>0</v>
      </c>
      <c r="BF13" t="s">
        <v>1327</v>
      </c>
    </row>
    <row r="14" spans="1:58" x14ac:dyDescent="0.2">
      <c r="A14" t="s">
        <v>757</v>
      </c>
      <c r="C14" t="s">
        <v>22</v>
      </c>
      <c r="D14" s="1">
        <v>45001.118750000001</v>
      </c>
      <c r="E14">
        <v>4</v>
      </c>
      <c r="F14" t="str">
        <f t="shared" si="0"/>
        <v>ROTOWIRE</v>
      </c>
      <c r="G14">
        <v>0</v>
      </c>
      <c r="H14" t="s">
        <v>23</v>
      </c>
      <c r="I14">
        <v>4</v>
      </c>
      <c r="J14">
        <v>0</v>
      </c>
      <c r="K14">
        <v>0.42</v>
      </c>
      <c r="L14">
        <v>0</v>
      </c>
      <c r="M14" t="s">
        <v>23</v>
      </c>
      <c r="N14" t="s">
        <v>1274</v>
      </c>
      <c r="O14" t="s">
        <v>24</v>
      </c>
      <c r="P14" t="s">
        <v>710</v>
      </c>
      <c r="Q14" t="s">
        <v>758</v>
      </c>
      <c r="S14" t="s">
        <v>759</v>
      </c>
      <c r="T14" t="b">
        <v>1</v>
      </c>
      <c r="U14" t="s">
        <v>760</v>
      </c>
      <c r="V14">
        <v>93</v>
      </c>
      <c r="W14" t="s">
        <v>1275</v>
      </c>
      <c r="X14" t="s">
        <v>1276</v>
      </c>
      <c r="Y14">
        <v>1</v>
      </c>
      <c r="Z14">
        <v>2025</v>
      </c>
      <c r="AA14" t="s">
        <v>1328</v>
      </c>
      <c r="AF14" t="s">
        <v>1278</v>
      </c>
      <c r="AG14">
        <v>30165</v>
      </c>
      <c r="AH14" t="s">
        <v>1278</v>
      </c>
      <c r="AI14" t="s">
        <v>1329</v>
      </c>
      <c r="AJ14" t="s">
        <v>1280</v>
      </c>
      <c r="AK14" t="s">
        <v>1280</v>
      </c>
      <c r="BA14" t="s">
        <v>1282</v>
      </c>
      <c r="BB14" t="b">
        <v>0</v>
      </c>
      <c r="BF14" t="s">
        <v>1330</v>
      </c>
    </row>
    <row r="15" spans="1:58" x14ac:dyDescent="0.2">
      <c r="A15" t="s">
        <v>761</v>
      </c>
      <c r="C15" t="s">
        <v>22</v>
      </c>
      <c r="D15" s="1">
        <v>45001.109027777777</v>
      </c>
      <c r="E15">
        <v>5</v>
      </c>
      <c r="F15" t="str">
        <f t="shared" si="0"/>
        <v>NONE</v>
      </c>
      <c r="G15">
        <v>0</v>
      </c>
      <c r="H15" t="s">
        <v>23</v>
      </c>
      <c r="I15">
        <v>5</v>
      </c>
      <c r="J15">
        <v>0</v>
      </c>
      <c r="K15">
        <v>0.45</v>
      </c>
      <c r="L15">
        <v>0</v>
      </c>
      <c r="M15" t="s">
        <v>23</v>
      </c>
      <c r="N15" t="s">
        <v>1274</v>
      </c>
      <c r="O15" t="s">
        <v>24</v>
      </c>
      <c r="P15" t="s">
        <v>710</v>
      </c>
      <c r="Q15" t="s">
        <v>762</v>
      </c>
      <c r="S15" t="s">
        <v>763</v>
      </c>
      <c r="T15" t="b">
        <v>1</v>
      </c>
      <c r="U15" t="s">
        <v>764</v>
      </c>
      <c r="V15">
        <v>3005</v>
      </c>
      <c r="W15" t="s">
        <v>1331</v>
      </c>
      <c r="X15" t="s">
        <v>1276</v>
      </c>
      <c r="Y15">
        <v>5</v>
      </c>
      <c r="Z15">
        <v>2026</v>
      </c>
      <c r="AA15" t="s">
        <v>1332</v>
      </c>
      <c r="AF15" t="s">
        <v>1278</v>
      </c>
      <c r="AG15">
        <v>84106</v>
      </c>
      <c r="AH15" t="s">
        <v>1278</v>
      </c>
      <c r="AI15" t="s">
        <v>1333</v>
      </c>
      <c r="AJ15" t="s">
        <v>1280</v>
      </c>
      <c r="AK15" t="s">
        <v>1280</v>
      </c>
      <c r="BA15" t="s">
        <v>1282</v>
      </c>
      <c r="BB15" t="b">
        <v>1</v>
      </c>
      <c r="BF15" t="s">
        <v>1334</v>
      </c>
    </row>
    <row r="16" spans="1:58" x14ac:dyDescent="0.2">
      <c r="A16" t="s">
        <v>765</v>
      </c>
      <c r="C16" t="s">
        <v>22</v>
      </c>
      <c r="D16" s="1">
        <v>45001.063888888886</v>
      </c>
      <c r="E16">
        <v>5</v>
      </c>
      <c r="F16" t="str">
        <f t="shared" si="0"/>
        <v>NONE</v>
      </c>
      <c r="G16">
        <v>0</v>
      </c>
      <c r="H16" t="s">
        <v>23</v>
      </c>
      <c r="I16">
        <v>5</v>
      </c>
      <c r="J16">
        <v>0</v>
      </c>
      <c r="K16">
        <v>0.45</v>
      </c>
      <c r="L16">
        <v>0</v>
      </c>
      <c r="M16" t="s">
        <v>23</v>
      </c>
      <c r="N16" t="s">
        <v>1274</v>
      </c>
      <c r="O16" t="s">
        <v>24</v>
      </c>
      <c r="P16" t="s">
        <v>710</v>
      </c>
      <c r="Q16" t="s">
        <v>766</v>
      </c>
      <c r="S16" t="s">
        <v>767</v>
      </c>
      <c r="T16" t="b">
        <v>1</v>
      </c>
      <c r="U16" t="s">
        <v>768</v>
      </c>
      <c r="V16">
        <v>7140</v>
      </c>
      <c r="W16" t="s">
        <v>1275</v>
      </c>
      <c r="X16" t="s">
        <v>1307</v>
      </c>
      <c r="Y16">
        <v>12</v>
      </c>
      <c r="Z16">
        <v>2023</v>
      </c>
      <c r="AA16" t="s">
        <v>1335</v>
      </c>
      <c r="AB16" t="s">
        <v>1336</v>
      </c>
      <c r="AD16" t="s">
        <v>1337</v>
      </c>
      <c r="AE16" t="s">
        <v>1338</v>
      </c>
      <c r="AF16" t="s">
        <v>1278</v>
      </c>
      <c r="AG16">
        <v>76244</v>
      </c>
      <c r="AH16" t="s">
        <v>1278</v>
      </c>
      <c r="AI16" t="s">
        <v>1339</v>
      </c>
      <c r="AK16" t="s">
        <v>1280</v>
      </c>
      <c r="AL16" t="s">
        <v>1280</v>
      </c>
      <c r="AM16" t="s">
        <v>1299</v>
      </c>
      <c r="BA16" t="s">
        <v>1282</v>
      </c>
      <c r="BB16" t="b">
        <v>0</v>
      </c>
      <c r="BF16" t="s">
        <v>1340</v>
      </c>
    </row>
    <row r="17" spans="1:58" x14ac:dyDescent="0.2">
      <c r="A17" t="s">
        <v>769</v>
      </c>
      <c r="C17" t="s">
        <v>22</v>
      </c>
      <c r="D17" s="1">
        <v>45001.058333333334</v>
      </c>
      <c r="E17">
        <v>4</v>
      </c>
      <c r="F17" t="str">
        <f t="shared" si="0"/>
        <v>ROTOWIRE</v>
      </c>
      <c r="G17">
        <v>0</v>
      </c>
      <c r="H17" t="s">
        <v>23</v>
      </c>
      <c r="I17">
        <v>4</v>
      </c>
      <c r="J17">
        <v>0</v>
      </c>
      <c r="K17">
        <v>0.42</v>
      </c>
      <c r="L17">
        <v>0</v>
      </c>
      <c r="M17" t="s">
        <v>23</v>
      </c>
      <c r="N17" t="s">
        <v>1274</v>
      </c>
      <c r="O17" t="s">
        <v>24</v>
      </c>
      <c r="P17" t="s">
        <v>710</v>
      </c>
      <c r="Q17" t="s">
        <v>770</v>
      </c>
      <c r="S17" t="s">
        <v>771</v>
      </c>
      <c r="T17" t="b">
        <v>1</v>
      </c>
      <c r="U17" t="s">
        <v>772</v>
      </c>
      <c r="V17">
        <v>8089</v>
      </c>
      <c r="W17" t="s">
        <v>1275</v>
      </c>
      <c r="X17" t="s">
        <v>1276</v>
      </c>
      <c r="Y17">
        <v>8</v>
      </c>
      <c r="Z17">
        <v>2027</v>
      </c>
      <c r="AA17" t="s">
        <v>1341</v>
      </c>
      <c r="AF17" t="s">
        <v>1278</v>
      </c>
      <c r="AG17">
        <v>2190</v>
      </c>
      <c r="AH17" t="s">
        <v>1278</v>
      </c>
      <c r="AI17" t="s">
        <v>1342</v>
      </c>
      <c r="AJ17" t="s">
        <v>1280</v>
      </c>
      <c r="AK17" t="s">
        <v>1280</v>
      </c>
      <c r="BA17" t="s">
        <v>1282</v>
      </c>
      <c r="BB17" t="b">
        <v>0</v>
      </c>
      <c r="BF17" t="s">
        <v>1343</v>
      </c>
    </row>
    <row r="18" spans="1:58" x14ac:dyDescent="0.2">
      <c r="A18" t="s">
        <v>773</v>
      </c>
      <c r="C18" t="s">
        <v>22</v>
      </c>
      <c r="D18" s="1">
        <v>45001.029166666667</v>
      </c>
      <c r="E18">
        <v>4</v>
      </c>
      <c r="F18" t="str">
        <f t="shared" si="0"/>
        <v>ROTOWIRE</v>
      </c>
      <c r="G18">
        <v>0</v>
      </c>
      <c r="H18" t="s">
        <v>23</v>
      </c>
      <c r="I18">
        <v>4</v>
      </c>
      <c r="J18">
        <v>0</v>
      </c>
      <c r="K18">
        <v>0.42</v>
      </c>
      <c r="L18">
        <v>0</v>
      </c>
      <c r="M18" t="s">
        <v>23</v>
      </c>
      <c r="N18" t="s">
        <v>1274</v>
      </c>
      <c r="O18" t="s">
        <v>24</v>
      </c>
      <c r="P18" t="s">
        <v>710</v>
      </c>
      <c r="Q18" t="s">
        <v>774</v>
      </c>
      <c r="S18" t="s">
        <v>775</v>
      </c>
      <c r="T18" t="b">
        <v>1</v>
      </c>
      <c r="U18" t="s">
        <v>776</v>
      </c>
      <c r="V18">
        <v>5121</v>
      </c>
      <c r="W18" t="s">
        <v>1275</v>
      </c>
      <c r="X18" t="s">
        <v>1276</v>
      </c>
      <c r="Y18">
        <v>7</v>
      </c>
      <c r="Z18">
        <v>2027</v>
      </c>
      <c r="AA18" t="s">
        <v>1344</v>
      </c>
      <c r="AF18" t="s">
        <v>1278</v>
      </c>
      <c r="AG18">
        <v>75087</v>
      </c>
      <c r="AH18" t="s">
        <v>1278</v>
      </c>
      <c r="AI18" t="s">
        <v>1345</v>
      </c>
      <c r="AJ18" t="s">
        <v>1280</v>
      </c>
      <c r="AK18" t="s">
        <v>1280</v>
      </c>
      <c r="BA18" t="s">
        <v>1282</v>
      </c>
      <c r="BB18" t="b">
        <v>0</v>
      </c>
      <c r="BF18" t="s">
        <v>1346</v>
      </c>
    </row>
    <row r="19" spans="1:58" x14ac:dyDescent="0.2">
      <c r="A19" t="s">
        <v>777</v>
      </c>
      <c r="C19" t="s">
        <v>22</v>
      </c>
      <c r="D19" s="1">
        <v>45000.998611111114</v>
      </c>
      <c r="E19">
        <v>5</v>
      </c>
      <c r="F19" t="str">
        <f t="shared" si="0"/>
        <v>NONE</v>
      </c>
      <c r="G19">
        <v>0</v>
      </c>
      <c r="H19" t="s">
        <v>23</v>
      </c>
      <c r="I19">
        <v>5</v>
      </c>
      <c r="J19">
        <v>0</v>
      </c>
      <c r="K19">
        <v>0.45</v>
      </c>
      <c r="L19">
        <v>0</v>
      </c>
      <c r="M19" t="s">
        <v>23</v>
      </c>
      <c r="N19" t="s">
        <v>1274</v>
      </c>
      <c r="O19" t="s">
        <v>24</v>
      </c>
      <c r="P19" t="s">
        <v>710</v>
      </c>
      <c r="Q19" t="s">
        <v>778</v>
      </c>
      <c r="S19" t="s">
        <v>779</v>
      </c>
      <c r="T19" t="b">
        <v>1</v>
      </c>
      <c r="U19" t="s">
        <v>780</v>
      </c>
      <c r="V19">
        <v>357</v>
      </c>
      <c r="W19" t="s">
        <v>1275</v>
      </c>
      <c r="X19" t="s">
        <v>1276</v>
      </c>
      <c r="Y19">
        <v>2</v>
      </c>
      <c r="Z19">
        <v>2027</v>
      </c>
      <c r="AA19" t="s">
        <v>1347</v>
      </c>
      <c r="AB19" t="s">
        <v>1348</v>
      </c>
      <c r="AD19" t="s">
        <v>1349</v>
      </c>
      <c r="AE19" t="s">
        <v>1297</v>
      </c>
      <c r="AF19" t="s">
        <v>1278</v>
      </c>
      <c r="AG19">
        <v>14850</v>
      </c>
      <c r="AH19" t="s">
        <v>1278</v>
      </c>
      <c r="AI19" t="s">
        <v>1350</v>
      </c>
      <c r="AK19" t="s">
        <v>1280</v>
      </c>
      <c r="AL19" t="s">
        <v>1281</v>
      </c>
      <c r="AM19" t="s">
        <v>1351</v>
      </c>
      <c r="BA19" t="s">
        <v>1282</v>
      </c>
      <c r="BB19" t="b">
        <v>0</v>
      </c>
      <c r="BF19" t="s">
        <v>1352</v>
      </c>
    </row>
    <row r="20" spans="1:58" x14ac:dyDescent="0.2">
      <c r="A20" t="s">
        <v>781</v>
      </c>
      <c r="C20" t="s">
        <v>22</v>
      </c>
      <c r="D20" s="1">
        <v>45000.979166666664</v>
      </c>
      <c r="E20">
        <v>5</v>
      </c>
      <c r="F20" t="str">
        <f t="shared" si="0"/>
        <v>NONE</v>
      </c>
      <c r="G20">
        <v>0</v>
      </c>
      <c r="H20" t="s">
        <v>23</v>
      </c>
      <c r="I20">
        <v>5</v>
      </c>
      <c r="J20">
        <v>0</v>
      </c>
      <c r="K20">
        <v>0.45</v>
      </c>
      <c r="L20">
        <v>0</v>
      </c>
      <c r="M20" t="s">
        <v>23</v>
      </c>
      <c r="N20" t="s">
        <v>1274</v>
      </c>
      <c r="O20" t="s">
        <v>24</v>
      </c>
      <c r="P20" t="s">
        <v>710</v>
      </c>
      <c r="Q20" t="s">
        <v>782</v>
      </c>
      <c r="S20" t="s">
        <v>783</v>
      </c>
      <c r="T20" t="b">
        <v>1</v>
      </c>
      <c r="U20" t="s">
        <v>784</v>
      </c>
      <c r="V20">
        <v>6001</v>
      </c>
      <c r="W20" t="s">
        <v>1331</v>
      </c>
      <c r="X20" t="s">
        <v>1276</v>
      </c>
      <c r="Y20">
        <v>11</v>
      </c>
      <c r="Z20">
        <v>2024</v>
      </c>
      <c r="AA20" t="s">
        <v>1353</v>
      </c>
      <c r="AB20" t="s">
        <v>1354</v>
      </c>
      <c r="AD20" t="s">
        <v>1355</v>
      </c>
      <c r="AE20" t="s">
        <v>1356</v>
      </c>
      <c r="AF20" t="s">
        <v>1278</v>
      </c>
      <c r="AG20">
        <v>43040</v>
      </c>
      <c r="AH20" t="s">
        <v>1278</v>
      </c>
      <c r="AI20" t="s">
        <v>1357</v>
      </c>
      <c r="AK20" t="s">
        <v>1280</v>
      </c>
      <c r="AL20" t="s">
        <v>1280</v>
      </c>
      <c r="AM20" t="s">
        <v>1299</v>
      </c>
      <c r="BA20" t="s">
        <v>1282</v>
      </c>
      <c r="BB20" t="b">
        <v>0</v>
      </c>
      <c r="BF20" t="s">
        <v>1358</v>
      </c>
    </row>
    <row r="21" spans="1:58" x14ac:dyDescent="0.2">
      <c r="A21" t="s">
        <v>785</v>
      </c>
      <c r="C21" t="s">
        <v>22</v>
      </c>
      <c r="D21" s="1">
        <v>45000.977777777778</v>
      </c>
      <c r="E21">
        <v>5</v>
      </c>
      <c r="F21" t="str">
        <f t="shared" si="0"/>
        <v>NONE</v>
      </c>
      <c r="G21">
        <v>0</v>
      </c>
      <c r="H21" t="s">
        <v>23</v>
      </c>
      <c r="I21">
        <v>5</v>
      </c>
      <c r="J21">
        <v>0</v>
      </c>
      <c r="K21">
        <v>0.45</v>
      </c>
      <c r="L21">
        <v>0</v>
      </c>
      <c r="M21" t="s">
        <v>23</v>
      </c>
      <c r="N21" t="s">
        <v>1274</v>
      </c>
      <c r="O21" t="s">
        <v>24</v>
      </c>
      <c r="P21" t="s">
        <v>710</v>
      </c>
      <c r="Q21" t="s">
        <v>786</v>
      </c>
      <c r="S21" t="s">
        <v>787</v>
      </c>
      <c r="T21" t="b">
        <v>1</v>
      </c>
      <c r="U21" t="s">
        <v>788</v>
      </c>
      <c r="V21">
        <v>5032</v>
      </c>
      <c r="W21" t="s">
        <v>1275</v>
      </c>
      <c r="X21" t="s">
        <v>1276</v>
      </c>
      <c r="Y21">
        <v>9</v>
      </c>
      <c r="Z21">
        <v>2023</v>
      </c>
      <c r="AA21" t="s">
        <v>1359</v>
      </c>
      <c r="AB21" t="s">
        <v>1360</v>
      </c>
      <c r="AD21" t="s">
        <v>1361</v>
      </c>
      <c r="AE21" t="s">
        <v>1362</v>
      </c>
      <c r="AF21" t="s">
        <v>1278</v>
      </c>
      <c r="AG21">
        <v>92630</v>
      </c>
      <c r="AH21" t="s">
        <v>1278</v>
      </c>
      <c r="AI21" t="s">
        <v>1363</v>
      </c>
      <c r="AK21" t="s">
        <v>1280</v>
      </c>
      <c r="AL21" t="s">
        <v>1280</v>
      </c>
      <c r="AM21" t="s">
        <v>1351</v>
      </c>
      <c r="BA21" t="s">
        <v>1282</v>
      </c>
      <c r="BB21" t="b">
        <v>0</v>
      </c>
      <c r="BF21" t="s">
        <v>1364</v>
      </c>
    </row>
    <row r="22" spans="1:58" x14ac:dyDescent="0.2">
      <c r="A22" t="s">
        <v>789</v>
      </c>
      <c r="C22" t="s">
        <v>22</v>
      </c>
      <c r="D22" s="1">
        <v>45000.960416666669</v>
      </c>
      <c r="E22">
        <v>5</v>
      </c>
      <c r="F22" t="str">
        <f t="shared" si="0"/>
        <v>NONE</v>
      </c>
      <c r="G22">
        <v>0</v>
      </c>
      <c r="H22" t="s">
        <v>23</v>
      </c>
      <c r="I22">
        <v>5</v>
      </c>
      <c r="J22">
        <v>0</v>
      </c>
      <c r="K22">
        <v>0.45</v>
      </c>
      <c r="L22">
        <v>0</v>
      </c>
      <c r="M22" t="s">
        <v>23</v>
      </c>
      <c r="N22" t="s">
        <v>1274</v>
      </c>
      <c r="O22" t="s">
        <v>24</v>
      </c>
      <c r="P22" t="s">
        <v>710</v>
      </c>
      <c r="Q22" t="s">
        <v>790</v>
      </c>
      <c r="S22" t="s">
        <v>544</v>
      </c>
      <c r="T22" t="b">
        <v>1</v>
      </c>
      <c r="U22" t="s">
        <v>791</v>
      </c>
      <c r="V22">
        <v>4921</v>
      </c>
      <c r="W22" t="s">
        <v>1275</v>
      </c>
      <c r="X22" t="s">
        <v>1276</v>
      </c>
      <c r="Y22">
        <v>10</v>
      </c>
      <c r="Z22">
        <v>2026</v>
      </c>
      <c r="AA22" t="s">
        <v>1365</v>
      </c>
      <c r="AF22" t="s">
        <v>1278</v>
      </c>
      <c r="AG22">
        <v>10594</v>
      </c>
      <c r="AH22" t="s">
        <v>1278</v>
      </c>
      <c r="AI22" t="s">
        <v>1366</v>
      </c>
      <c r="AJ22" t="s">
        <v>1281</v>
      </c>
      <c r="AK22" t="s">
        <v>1280</v>
      </c>
      <c r="BA22" t="s">
        <v>1282</v>
      </c>
      <c r="BB22" t="b">
        <v>0</v>
      </c>
      <c r="BF22" t="s">
        <v>1367</v>
      </c>
    </row>
    <row r="23" spans="1:58" x14ac:dyDescent="0.2">
      <c r="A23" t="s">
        <v>792</v>
      </c>
      <c r="C23" t="s">
        <v>22</v>
      </c>
      <c r="D23" s="1">
        <v>45000.955555555556</v>
      </c>
      <c r="E23">
        <v>5</v>
      </c>
      <c r="F23" t="str">
        <f t="shared" si="0"/>
        <v>NONE</v>
      </c>
      <c r="G23">
        <v>0</v>
      </c>
      <c r="H23" t="s">
        <v>23</v>
      </c>
      <c r="I23">
        <v>5</v>
      </c>
      <c r="J23">
        <v>0</v>
      </c>
      <c r="K23">
        <v>0.45</v>
      </c>
      <c r="L23">
        <v>0</v>
      </c>
      <c r="M23" t="s">
        <v>23</v>
      </c>
      <c r="N23" t="s">
        <v>1274</v>
      </c>
      <c r="O23" t="s">
        <v>24</v>
      </c>
      <c r="P23" t="s">
        <v>710</v>
      </c>
      <c r="Q23" t="s">
        <v>793</v>
      </c>
      <c r="S23" t="s">
        <v>794</v>
      </c>
      <c r="T23" t="b">
        <v>1</v>
      </c>
      <c r="U23" t="s">
        <v>795</v>
      </c>
      <c r="V23">
        <v>7603</v>
      </c>
      <c r="W23" t="s">
        <v>1275</v>
      </c>
      <c r="X23" t="s">
        <v>1276</v>
      </c>
      <c r="Y23">
        <v>2</v>
      </c>
      <c r="Z23">
        <v>2028</v>
      </c>
      <c r="AA23" t="s">
        <v>1368</v>
      </c>
      <c r="AF23" t="s">
        <v>1278</v>
      </c>
      <c r="AG23">
        <v>11050</v>
      </c>
      <c r="AH23" t="s">
        <v>1278</v>
      </c>
      <c r="AI23" t="s">
        <v>1369</v>
      </c>
      <c r="AJ23" t="s">
        <v>1280</v>
      </c>
      <c r="AK23" t="s">
        <v>1280</v>
      </c>
      <c r="BA23" t="s">
        <v>1282</v>
      </c>
      <c r="BB23" t="b">
        <v>1</v>
      </c>
      <c r="BF23" t="s">
        <v>1370</v>
      </c>
    </row>
    <row r="24" spans="1:58" x14ac:dyDescent="0.2">
      <c r="A24" t="s">
        <v>796</v>
      </c>
      <c r="C24" t="s">
        <v>22</v>
      </c>
      <c r="D24" s="1">
        <v>45000.954861111109</v>
      </c>
      <c r="E24">
        <v>3.75</v>
      </c>
      <c r="F24" t="str">
        <f t="shared" si="0"/>
        <v>EMAIL</v>
      </c>
      <c r="G24">
        <v>0</v>
      </c>
      <c r="H24" t="s">
        <v>23</v>
      </c>
      <c r="I24">
        <v>3.75</v>
      </c>
      <c r="J24">
        <v>0</v>
      </c>
      <c r="K24">
        <v>0.41</v>
      </c>
      <c r="L24">
        <v>0</v>
      </c>
      <c r="M24" t="s">
        <v>23</v>
      </c>
      <c r="N24" t="s">
        <v>1274</v>
      </c>
      <c r="O24" t="s">
        <v>24</v>
      </c>
      <c r="P24" t="s">
        <v>710</v>
      </c>
      <c r="Q24" t="s">
        <v>797</v>
      </c>
      <c r="S24" t="s">
        <v>798</v>
      </c>
      <c r="T24" t="b">
        <v>1</v>
      </c>
      <c r="U24" t="s">
        <v>799</v>
      </c>
      <c r="V24">
        <v>9325</v>
      </c>
      <c r="W24" t="s">
        <v>1275</v>
      </c>
      <c r="X24" t="s">
        <v>1307</v>
      </c>
      <c r="Y24">
        <v>10</v>
      </c>
      <c r="Z24">
        <v>2025</v>
      </c>
      <c r="AA24" t="s">
        <v>1371</v>
      </c>
      <c r="AF24" t="s">
        <v>1278</v>
      </c>
      <c r="AG24">
        <v>22203</v>
      </c>
      <c r="AH24" t="s">
        <v>1278</v>
      </c>
      <c r="AI24" t="s">
        <v>1372</v>
      </c>
      <c r="AJ24" t="s">
        <v>1280</v>
      </c>
      <c r="AK24" t="s">
        <v>1280</v>
      </c>
      <c r="BA24" t="s">
        <v>1282</v>
      </c>
      <c r="BB24" t="b">
        <v>0</v>
      </c>
      <c r="BF24" t="s">
        <v>1373</v>
      </c>
    </row>
    <row r="25" spans="1:58" x14ac:dyDescent="0.2">
      <c r="A25" t="s">
        <v>800</v>
      </c>
      <c r="C25" t="s">
        <v>22</v>
      </c>
      <c r="D25" s="1">
        <v>45000.954861111109</v>
      </c>
      <c r="E25">
        <v>5</v>
      </c>
      <c r="F25" t="str">
        <f t="shared" si="0"/>
        <v>NONE</v>
      </c>
      <c r="G25">
        <v>0</v>
      </c>
      <c r="H25" t="s">
        <v>23</v>
      </c>
      <c r="I25">
        <v>5</v>
      </c>
      <c r="J25">
        <v>0</v>
      </c>
      <c r="K25">
        <v>0.45</v>
      </c>
      <c r="L25">
        <v>0</v>
      </c>
      <c r="M25" t="s">
        <v>23</v>
      </c>
      <c r="N25" t="s">
        <v>1274</v>
      </c>
      <c r="O25" t="s">
        <v>24</v>
      </c>
      <c r="P25" t="s">
        <v>710</v>
      </c>
      <c r="Q25" t="s">
        <v>801</v>
      </c>
      <c r="S25" t="s">
        <v>802</v>
      </c>
      <c r="T25" t="b">
        <v>1</v>
      </c>
      <c r="U25" t="s">
        <v>803</v>
      </c>
      <c r="V25">
        <v>2834</v>
      </c>
      <c r="W25" t="s">
        <v>1275</v>
      </c>
      <c r="X25" t="s">
        <v>1276</v>
      </c>
      <c r="Y25">
        <v>3</v>
      </c>
      <c r="Z25">
        <v>2027</v>
      </c>
      <c r="AA25" t="s">
        <v>1374</v>
      </c>
      <c r="AF25" t="s">
        <v>1278</v>
      </c>
      <c r="AG25">
        <v>48073</v>
      </c>
      <c r="AH25" t="s">
        <v>1278</v>
      </c>
      <c r="AI25" t="s">
        <v>1375</v>
      </c>
      <c r="AJ25" t="s">
        <v>1280</v>
      </c>
      <c r="AK25" t="s">
        <v>1280</v>
      </c>
      <c r="BA25" t="s">
        <v>1282</v>
      </c>
      <c r="BB25" t="b">
        <v>0</v>
      </c>
      <c r="BF25" t="s">
        <v>1376</v>
      </c>
    </row>
    <row r="26" spans="1:58" x14ac:dyDescent="0.2">
      <c r="A26" t="s">
        <v>804</v>
      </c>
      <c r="C26" t="s">
        <v>22</v>
      </c>
      <c r="D26" s="1">
        <v>45000.935416666667</v>
      </c>
      <c r="E26">
        <v>4</v>
      </c>
      <c r="F26" t="str">
        <f t="shared" si="0"/>
        <v>ROTOWIRE</v>
      </c>
      <c r="G26">
        <v>0</v>
      </c>
      <c r="H26" t="s">
        <v>23</v>
      </c>
      <c r="I26">
        <v>4</v>
      </c>
      <c r="J26">
        <v>0</v>
      </c>
      <c r="K26">
        <v>0.42</v>
      </c>
      <c r="L26">
        <v>0</v>
      </c>
      <c r="M26" t="s">
        <v>23</v>
      </c>
      <c r="N26" t="s">
        <v>1274</v>
      </c>
      <c r="O26" t="s">
        <v>24</v>
      </c>
      <c r="P26" t="s">
        <v>710</v>
      </c>
      <c r="Q26" t="s">
        <v>805</v>
      </c>
      <c r="S26" t="s">
        <v>806</v>
      </c>
      <c r="T26" t="b">
        <v>1</v>
      </c>
      <c r="U26" t="s">
        <v>807</v>
      </c>
      <c r="V26">
        <v>3284</v>
      </c>
      <c r="W26" t="s">
        <v>1284</v>
      </c>
      <c r="X26" t="s">
        <v>1276</v>
      </c>
      <c r="Y26">
        <v>6</v>
      </c>
      <c r="Z26">
        <v>2027</v>
      </c>
      <c r="AA26" t="s">
        <v>1377</v>
      </c>
      <c r="AF26" t="s">
        <v>1278</v>
      </c>
      <c r="AG26">
        <v>73070</v>
      </c>
      <c r="AH26" t="s">
        <v>1278</v>
      </c>
      <c r="AI26" t="s">
        <v>1378</v>
      </c>
      <c r="AJ26" t="s">
        <v>1280</v>
      </c>
      <c r="AK26" t="s">
        <v>1280</v>
      </c>
      <c r="BA26" t="s">
        <v>1282</v>
      </c>
      <c r="BB26" t="b">
        <v>0</v>
      </c>
      <c r="BF26" t="s">
        <v>1379</v>
      </c>
    </row>
    <row r="27" spans="1:58" x14ac:dyDescent="0.2">
      <c r="A27" t="s">
        <v>808</v>
      </c>
      <c r="C27" t="s">
        <v>22</v>
      </c>
      <c r="D27" s="1">
        <v>45000.845138888886</v>
      </c>
      <c r="E27">
        <v>5</v>
      </c>
      <c r="F27" t="str">
        <f t="shared" si="0"/>
        <v>NONE</v>
      </c>
      <c r="G27">
        <v>0</v>
      </c>
      <c r="H27" t="s">
        <v>23</v>
      </c>
      <c r="I27">
        <v>5</v>
      </c>
      <c r="J27">
        <v>0</v>
      </c>
      <c r="K27">
        <v>0.45</v>
      </c>
      <c r="L27">
        <v>0</v>
      </c>
      <c r="M27" t="s">
        <v>23</v>
      </c>
      <c r="N27" t="s">
        <v>1274</v>
      </c>
      <c r="O27" t="s">
        <v>24</v>
      </c>
      <c r="P27" t="s">
        <v>710</v>
      </c>
      <c r="Q27" t="s">
        <v>809</v>
      </c>
      <c r="S27" t="s">
        <v>810</v>
      </c>
      <c r="T27" t="b">
        <v>1</v>
      </c>
      <c r="U27" t="s">
        <v>811</v>
      </c>
      <c r="V27">
        <v>1449</v>
      </c>
      <c r="W27" t="s">
        <v>1275</v>
      </c>
      <c r="X27" t="s">
        <v>1276</v>
      </c>
      <c r="Y27">
        <v>6</v>
      </c>
      <c r="Z27">
        <v>2023</v>
      </c>
      <c r="AA27" t="s">
        <v>1380</v>
      </c>
      <c r="AB27" t="s">
        <v>1381</v>
      </c>
      <c r="AC27" t="s">
        <v>1382</v>
      </c>
      <c r="AD27" t="s">
        <v>1383</v>
      </c>
      <c r="AE27" t="s">
        <v>1356</v>
      </c>
      <c r="AF27" t="s">
        <v>1278</v>
      </c>
      <c r="AG27">
        <v>44114</v>
      </c>
      <c r="AH27" t="s">
        <v>1278</v>
      </c>
      <c r="AI27" t="s">
        <v>1384</v>
      </c>
      <c r="AK27" t="s">
        <v>1280</v>
      </c>
      <c r="AL27" t="s">
        <v>1280</v>
      </c>
      <c r="BA27" t="s">
        <v>1282</v>
      </c>
      <c r="BB27" t="b">
        <v>1</v>
      </c>
      <c r="BF27" t="s">
        <v>1385</v>
      </c>
    </row>
    <row r="28" spans="1:58" x14ac:dyDescent="0.2">
      <c r="A28" t="s">
        <v>812</v>
      </c>
      <c r="C28" t="s">
        <v>22</v>
      </c>
      <c r="D28" s="1">
        <v>45000.818055555559</v>
      </c>
      <c r="E28">
        <v>4</v>
      </c>
      <c r="F28" t="str">
        <f t="shared" si="0"/>
        <v>ROTOWIRE</v>
      </c>
      <c r="G28">
        <v>0</v>
      </c>
      <c r="H28" t="s">
        <v>23</v>
      </c>
      <c r="I28">
        <v>4</v>
      </c>
      <c r="J28">
        <v>0</v>
      </c>
      <c r="K28">
        <v>0.42</v>
      </c>
      <c r="L28">
        <v>0</v>
      </c>
      <c r="M28" t="s">
        <v>23</v>
      </c>
      <c r="N28" t="s">
        <v>1274</v>
      </c>
      <c r="O28" t="s">
        <v>24</v>
      </c>
      <c r="P28" t="s">
        <v>710</v>
      </c>
      <c r="Q28" t="s">
        <v>813</v>
      </c>
      <c r="S28" t="s">
        <v>814</v>
      </c>
      <c r="T28" t="b">
        <v>1</v>
      </c>
      <c r="U28" t="s">
        <v>815</v>
      </c>
      <c r="V28">
        <v>2091</v>
      </c>
      <c r="W28" t="s">
        <v>1284</v>
      </c>
      <c r="X28" t="s">
        <v>1276</v>
      </c>
      <c r="Y28">
        <v>3</v>
      </c>
      <c r="Z28">
        <v>2027</v>
      </c>
      <c r="AA28" t="s">
        <v>1386</v>
      </c>
      <c r="AF28" t="s">
        <v>1278</v>
      </c>
      <c r="AG28">
        <v>40741</v>
      </c>
      <c r="AH28" t="s">
        <v>1278</v>
      </c>
      <c r="AI28" t="s">
        <v>1387</v>
      </c>
      <c r="AJ28" t="s">
        <v>1280</v>
      </c>
      <c r="AK28" t="s">
        <v>1280</v>
      </c>
      <c r="BA28" t="s">
        <v>1282</v>
      </c>
      <c r="BB28" t="b">
        <v>1</v>
      </c>
      <c r="BF28" t="s">
        <v>1388</v>
      </c>
    </row>
    <row r="29" spans="1:58" x14ac:dyDescent="0.2">
      <c r="A29" t="s">
        <v>816</v>
      </c>
      <c r="C29" t="s">
        <v>22</v>
      </c>
      <c r="D29" s="1">
        <v>45000.806944444441</v>
      </c>
      <c r="E29">
        <v>4</v>
      </c>
      <c r="F29" t="str">
        <f t="shared" si="0"/>
        <v>ROTOWIRE</v>
      </c>
      <c r="G29">
        <v>0</v>
      </c>
      <c r="H29" t="s">
        <v>23</v>
      </c>
      <c r="I29">
        <v>4</v>
      </c>
      <c r="J29">
        <v>0</v>
      </c>
      <c r="K29">
        <v>0.42</v>
      </c>
      <c r="L29">
        <v>0</v>
      </c>
      <c r="M29" t="s">
        <v>23</v>
      </c>
      <c r="N29" t="s">
        <v>1274</v>
      </c>
      <c r="O29" t="s">
        <v>24</v>
      </c>
      <c r="P29" t="s">
        <v>710</v>
      </c>
      <c r="Q29" t="s">
        <v>817</v>
      </c>
      <c r="S29" t="s">
        <v>818</v>
      </c>
      <c r="T29" t="b">
        <v>1</v>
      </c>
      <c r="U29" t="s">
        <v>819</v>
      </c>
      <c r="V29">
        <v>2957</v>
      </c>
      <c r="W29" t="s">
        <v>1284</v>
      </c>
      <c r="X29" t="s">
        <v>1276</v>
      </c>
      <c r="Y29">
        <v>1</v>
      </c>
      <c r="Z29">
        <v>2024</v>
      </c>
      <c r="AA29" t="s">
        <v>1389</v>
      </c>
      <c r="AF29" t="s">
        <v>1278</v>
      </c>
      <c r="AG29">
        <v>97301</v>
      </c>
      <c r="AH29" t="s">
        <v>1278</v>
      </c>
      <c r="AI29" t="s">
        <v>1390</v>
      </c>
      <c r="AJ29" t="s">
        <v>1280</v>
      </c>
      <c r="AK29" t="s">
        <v>1280</v>
      </c>
      <c r="BA29" t="s">
        <v>1282</v>
      </c>
      <c r="BB29" t="b">
        <v>1</v>
      </c>
      <c r="BF29" t="s">
        <v>1391</v>
      </c>
    </row>
    <row r="30" spans="1:58" x14ac:dyDescent="0.2">
      <c r="A30" t="s">
        <v>820</v>
      </c>
      <c r="C30" t="s">
        <v>22</v>
      </c>
      <c r="D30" s="1">
        <v>45000.806250000001</v>
      </c>
      <c r="E30">
        <v>4</v>
      </c>
      <c r="F30" t="str">
        <f t="shared" si="0"/>
        <v>ROTOWIRE</v>
      </c>
      <c r="G30">
        <v>0</v>
      </c>
      <c r="H30" t="s">
        <v>23</v>
      </c>
      <c r="I30">
        <v>4</v>
      </c>
      <c r="J30">
        <v>0</v>
      </c>
      <c r="K30">
        <v>0.42</v>
      </c>
      <c r="L30">
        <v>0</v>
      </c>
      <c r="M30" t="s">
        <v>23</v>
      </c>
      <c r="N30" t="s">
        <v>1274</v>
      </c>
      <c r="O30" t="s">
        <v>24</v>
      </c>
      <c r="P30" t="s">
        <v>710</v>
      </c>
      <c r="Q30" t="s">
        <v>821</v>
      </c>
      <c r="S30" t="s">
        <v>822</v>
      </c>
      <c r="T30" t="b">
        <v>1</v>
      </c>
      <c r="U30" t="s">
        <v>823</v>
      </c>
      <c r="V30">
        <v>3472</v>
      </c>
      <c r="W30" t="s">
        <v>1284</v>
      </c>
      <c r="X30" t="s">
        <v>1276</v>
      </c>
      <c r="Y30">
        <v>10</v>
      </c>
      <c r="Z30">
        <v>2025</v>
      </c>
      <c r="AA30" t="s">
        <v>1392</v>
      </c>
      <c r="AF30" t="s">
        <v>1278</v>
      </c>
      <c r="AG30">
        <v>44125</v>
      </c>
      <c r="AH30" t="s">
        <v>1278</v>
      </c>
      <c r="AI30" t="s">
        <v>1393</v>
      </c>
      <c r="AJ30" t="s">
        <v>1280</v>
      </c>
      <c r="AK30" t="s">
        <v>1280</v>
      </c>
      <c r="BA30" t="s">
        <v>1282</v>
      </c>
      <c r="BB30" t="b">
        <v>0</v>
      </c>
      <c r="BF30" t="s">
        <v>1394</v>
      </c>
    </row>
    <row r="31" spans="1:58" x14ac:dyDescent="0.2">
      <c r="A31" t="s">
        <v>824</v>
      </c>
      <c r="C31" t="s">
        <v>22</v>
      </c>
      <c r="D31" s="1">
        <v>45000.763194444444</v>
      </c>
      <c r="E31">
        <v>5</v>
      </c>
      <c r="F31" t="str">
        <f t="shared" si="0"/>
        <v>NONE</v>
      </c>
      <c r="G31">
        <v>0</v>
      </c>
      <c r="H31" t="s">
        <v>23</v>
      </c>
      <c r="I31">
        <v>5</v>
      </c>
      <c r="J31">
        <v>0</v>
      </c>
      <c r="K31">
        <v>0.45</v>
      </c>
      <c r="L31">
        <v>0</v>
      </c>
      <c r="M31" t="s">
        <v>23</v>
      </c>
      <c r="N31" t="s">
        <v>1274</v>
      </c>
      <c r="O31" t="s">
        <v>24</v>
      </c>
      <c r="P31" t="s">
        <v>710</v>
      </c>
      <c r="Q31" t="s">
        <v>825</v>
      </c>
      <c r="S31" t="s">
        <v>826</v>
      </c>
      <c r="T31" t="b">
        <v>1</v>
      </c>
      <c r="U31" t="s">
        <v>827</v>
      </c>
      <c r="V31">
        <v>4250</v>
      </c>
      <c r="W31" t="s">
        <v>1275</v>
      </c>
      <c r="X31" t="s">
        <v>1276</v>
      </c>
      <c r="Y31">
        <v>1</v>
      </c>
      <c r="Z31">
        <v>2028</v>
      </c>
      <c r="AA31" t="s">
        <v>1395</v>
      </c>
      <c r="AF31" t="s">
        <v>1278</v>
      </c>
      <c r="AG31">
        <v>48105</v>
      </c>
      <c r="AH31" t="s">
        <v>1278</v>
      </c>
      <c r="AI31" t="s">
        <v>1396</v>
      </c>
      <c r="AJ31" t="s">
        <v>1280</v>
      </c>
      <c r="AK31" t="s">
        <v>1280</v>
      </c>
      <c r="BA31" t="s">
        <v>1282</v>
      </c>
      <c r="BB31" t="b">
        <v>0</v>
      </c>
      <c r="BF31" t="s">
        <v>1397</v>
      </c>
    </row>
    <row r="32" spans="1:58" x14ac:dyDescent="0.2">
      <c r="A32" t="s">
        <v>828</v>
      </c>
      <c r="C32" t="s">
        <v>22</v>
      </c>
      <c r="D32" s="1">
        <v>45000.751388888886</v>
      </c>
      <c r="E32">
        <v>5</v>
      </c>
      <c r="F32" t="str">
        <f t="shared" si="0"/>
        <v>NONE</v>
      </c>
      <c r="G32">
        <v>0</v>
      </c>
      <c r="H32" t="s">
        <v>23</v>
      </c>
      <c r="I32">
        <v>5</v>
      </c>
      <c r="J32">
        <v>0</v>
      </c>
      <c r="K32">
        <v>0.45</v>
      </c>
      <c r="L32">
        <v>0</v>
      </c>
      <c r="M32" t="s">
        <v>23</v>
      </c>
      <c r="N32" t="s">
        <v>1274</v>
      </c>
      <c r="O32" t="s">
        <v>24</v>
      </c>
      <c r="P32" t="s">
        <v>710</v>
      </c>
      <c r="Q32" t="s">
        <v>829</v>
      </c>
      <c r="S32" t="s">
        <v>186</v>
      </c>
      <c r="T32" t="b">
        <v>1</v>
      </c>
      <c r="U32" t="s">
        <v>830</v>
      </c>
      <c r="V32">
        <v>8581</v>
      </c>
      <c r="W32" t="s">
        <v>1275</v>
      </c>
      <c r="X32" t="s">
        <v>1276</v>
      </c>
      <c r="Y32">
        <v>12</v>
      </c>
      <c r="Z32">
        <v>2023</v>
      </c>
      <c r="AA32" t="s">
        <v>1398</v>
      </c>
      <c r="AB32" t="s">
        <v>1399</v>
      </c>
      <c r="AD32" t="s">
        <v>1400</v>
      </c>
      <c r="AE32" t="s">
        <v>1401</v>
      </c>
      <c r="AF32" t="s">
        <v>1278</v>
      </c>
      <c r="AG32">
        <v>48823</v>
      </c>
      <c r="AH32" t="s">
        <v>1278</v>
      </c>
      <c r="AI32" t="s">
        <v>1402</v>
      </c>
      <c r="AK32" t="s">
        <v>1281</v>
      </c>
      <c r="AL32" t="s">
        <v>1281</v>
      </c>
      <c r="AM32" t="s">
        <v>1299</v>
      </c>
      <c r="BA32" t="s">
        <v>1282</v>
      </c>
      <c r="BB32" t="b">
        <v>0</v>
      </c>
      <c r="BF32" t="s">
        <v>1403</v>
      </c>
    </row>
    <row r="33" spans="1:58" x14ac:dyDescent="0.2">
      <c r="A33" t="s">
        <v>831</v>
      </c>
      <c r="C33" t="s">
        <v>22</v>
      </c>
      <c r="D33" s="1">
        <v>45000.744444444441</v>
      </c>
      <c r="E33">
        <v>4</v>
      </c>
      <c r="F33" t="str">
        <f t="shared" si="0"/>
        <v>ROTOWIRE</v>
      </c>
      <c r="G33">
        <v>0</v>
      </c>
      <c r="H33" t="s">
        <v>23</v>
      </c>
      <c r="I33">
        <v>4</v>
      </c>
      <c r="J33">
        <v>0</v>
      </c>
      <c r="K33">
        <v>0.42</v>
      </c>
      <c r="L33">
        <v>0</v>
      </c>
      <c r="M33" t="s">
        <v>23</v>
      </c>
      <c r="N33" t="s">
        <v>1274</v>
      </c>
      <c r="O33" t="s">
        <v>24</v>
      </c>
      <c r="P33" t="s">
        <v>710</v>
      </c>
      <c r="Q33" t="s">
        <v>832</v>
      </c>
      <c r="S33" t="s">
        <v>833</v>
      </c>
      <c r="T33" t="b">
        <v>1</v>
      </c>
      <c r="U33" t="s">
        <v>834</v>
      </c>
      <c r="V33">
        <v>2184</v>
      </c>
      <c r="W33" t="s">
        <v>1275</v>
      </c>
      <c r="X33" t="s">
        <v>1307</v>
      </c>
      <c r="Y33">
        <v>6</v>
      </c>
      <c r="Z33">
        <v>2025</v>
      </c>
      <c r="AA33" t="s">
        <v>1404</v>
      </c>
      <c r="AF33" t="s">
        <v>1278</v>
      </c>
      <c r="AG33">
        <v>95687</v>
      </c>
      <c r="AH33" t="s">
        <v>1278</v>
      </c>
      <c r="AI33" t="s">
        <v>1405</v>
      </c>
      <c r="AJ33" t="s">
        <v>1280</v>
      </c>
      <c r="AK33" t="s">
        <v>1280</v>
      </c>
      <c r="BA33" t="s">
        <v>1282</v>
      </c>
      <c r="BB33" t="b">
        <v>1</v>
      </c>
      <c r="BF33" t="s">
        <v>1406</v>
      </c>
    </row>
    <row r="34" spans="1:58" x14ac:dyDescent="0.2">
      <c r="A34" t="s">
        <v>835</v>
      </c>
      <c r="C34" t="s">
        <v>22</v>
      </c>
      <c r="D34" s="1">
        <v>45000.741666666669</v>
      </c>
      <c r="E34">
        <v>4</v>
      </c>
      <c r="F34" t="s">
        <v>423</v>
      </c>
      <c r="G34">
        <v>0</v>
      </c>
      <c r="H34" t="s">
        <v>23</v>
      </c>
      <c r="I34">
        <v>4</v>
      </c>
      <c r="J34">
        <v>0</v>
      </c>
      <c r="K34">
        <v>0.42</v>
      </c>
      <c r="L34">
        <v>0</v>
      </c>
      <c r="M34" t="s">
        <v>23</v>
      </c>
      <c r="N34" t="s">
        <v>1274</v>
      </c>
      <c r="O34" t="s">
        <v>24</v>
      </c>
      <c r="P34" t="s">
        <v>710</v>
      </c>
      <c r="Q34" t="s">
        <v>836</v>
      </c>
      <c r="S34" t="s">
        <v>837</v>
      </c>
      <c r="T34" t="b">
        <v>1</v>
      </c>
      <c r="U34" t="s">
        <v>838</v>
      </c>
      <c r="V34">
        <v>2367</v>
      </c>
      <c r="W34" t="s">
        <v>1275</v>
      </c>
      <c r="X34" t="s">
        <v>1307</v>
      </c>
      <c r="Y34">
        <v>12</v>
      </c>
      <c r="Z34">
        <v>2023</v>
      </c>
      <c r="AA34" t="s">
        <v>1407</v>
      </c>
      <c r="AB34" t="s">
        <v>1408</v>
      </c>
      <c r="AD34" t="s">
        <v>1409</v>
      </c>
      <c r="AE34" t="s">
        <v>1338</v>
      </c>
      <c r="AF34" t="s">
        <v>1278</v>
      </c>
      <c r="AG34">
        <v>76126</v>
      </c>
      <c r="AH34" t="s">
        <v>1278</v>
      </c>
      <c r="AI34" t="s">
        <v>1410</v>
      </c>
      <c r="AK34" t="s">
        <v>1280</v>
      </c>
      <c r="AL34" t="s">
        <v>1280</v>
      </c>
      <c r="AM34" t="s">
        <v>1299</v>
      </c>
      <c r="BA34" t="s">
        <v>1282</v>
      </c>
      <c r="BB34" t="b">
        <v>0</v>
      </c>
      <c r="BF34" t="s">
        <v>1411</v>
      </c>
    </row>
    <row r="35" spans="1:58" x14ac:dyDescent="0.2">
      <c r="A35" t="s">
        <v>839</v>
      </c>
      <c r="C35" t="s">
        <v>22</v>
      </c>
      <c r="D35" s="1">
        <v>45000.710416666669</v>
      </c>
      <c r="E35">
        <v>5</v>
      </c>
      <c r="F35" t="str">
        <f t="shared" si="0"/>
        <v>NONE</v>
      </c>
      <c r="G35">
        <v>0</v>
      </c>
      <c r="H35" t="s">
        <v>23</v>
      </c>
      <c r="I35">
        <v>5</v>
      </c>
      <c r="J35">
        <v>0</v>
      </c>
      <c r="K35">
        <v>0.45</v>
      </c>
      <c r="L35">
        <v>0</v>
      </c>
      <c r="M35" t="s">
        <v>23</v>
      </c>
      <c r="N35" t="s">
        <v>1274</v>
      </c>
      <c r="O35" t="s">
        <v>24</v>
      </c>
      <c r="P35" t="s">
        <v>710</v>
      </c>
      <c r="Q35" t="s">
        <v>840</v>
      </c>
      <c r="S35" t="s">
        <v>198</v>
      </c>
      <c r="T35" t="b">
        <v>1</v>
      </c>
      <c r="U35" t="s">
        <v>841</v>
      </c>
      <c r="V35">
        <v>498</v>
      </c>
      <c r="W35" t="s">
        <v>1284</v>
      </c>
      <c r="X35" t="s">
        <v>1307</v>
      </c>
      <c r="Y35">
        <v>3</v>
      </c>
      <c r="Z35">
        <v>2026</v>
      </c>
      <c r="AA35" t="s">
        <v>1412</v>
      </c>
      <c r="AF35" t="s">
        <v>1278</v>
      </c>
      <c r="AG35">
        <v>48093</v>
      </c>
      <c r="AH35" t="s">
        <v>1278</v>
      </c>
      <c r="AI35" t="s">
        <v>1413</v>
      </c>
      <c r="AJ35" t="s">
        <v>1280</v>
      </c>
      <c r="AK35" t="s">
        <v>1280</v>
      </c>
      <c r="BA35" t="s">
        <v>1282</v>
      </c>
      <c r="BB35" t="b">
        <v>1</v>
      </c>
      <c r="BF35" t="s">
        <v>1414</v>
      </c>
    </row>
    <row r="36" spans="1:58" x14ac:dyDescent="0.2">
      <c r="A36" t="s">
        <v>842</v>
      </c>
      <c r="C36" t="s">
        <v>22</v>
      </c>
      <c r="D36" s="1">
        <v>45000.690972222219</v>
      </c>
      <c r="E36">
        <v>5</v>
      </c>
      <c r="F36" t="str">
        <f t="shared" si="0"/>
        <v>NONE</v>
      </c>
      <c r="G36">
        <v>0</v>
      </c>
      <c r="H36" t="s">
        <v>23</v>
      </c>
      <c r="I36">
        <v>5</v>
      </c>
      <c r="J36">
        <v>0</v>
      </c>
      <c r="K36">
        <v>0.45</v>
      </c>
      <c r="L36">
        <v>0</v>
      </c>
      <c r="M36" t="s">
        <v>23</v>
      </c>
      <c r="N36" t="s">
        <v>1274</v>
      </c>
      <c r="O36" t="s">
        <v>24</v>
      </c>
      <c r="P36" t="s">
        <v>710</v>
      </c>
      <c r="Q36" t="s">
        <v>843</v>
      </c>
      <c r="S36" t="s">
        <v>210</v>
      </c>
      <c r="T36" t="b">
        <v>1</v>
      </c>
      <c r="U36" t="s">
        <v>844</v>
      </c>
      <c r="V36">
        <v>8653</v>
      </c>
      <c r="W36" t="s">
        <v>1275</v>
      </c>
      <c r="X36" t="s">
        <v>1276</v>
      </c>
      <c r="Y36">
        <v>4</v>
      </c>
      <c r="Z36">
        <v>2025</v>
      </c>
      <c r="AA36" t="s">
        <v>1415</v>
      </c>
      <c r="AF36" t="s">
        <v>1278</v>
      </c>
      <c r="AG36">
        <v>70817</v>
      </c>
      <c r="AH36" t="s">
        <v>1278</v>
      </c>
      <c r="AI36" t="s">
        <v>1416</v>
      </c>
      <c r="AK36" t="s">
        <v>1280</v>
      </c>
      <c r="BA36" t="s">
        <v>1282</v>
      </c>
      <c r="BB36" t="b">
        <v>1</v>
      </c>
      <c r="BF36" t="s">
        <v>1417</v>
      </c>
    </row>
    <row r="37" spans="1:58" x14ac:dyDescent="0.2">
      <c r="A37" t="s">
        <v>845</v>
      </c>
      <c r="C37" t="s">
        <v>22</v>
      </c>
      <c r="D37" s="1">
        <v>45000.667361111111</v>
      </c>
      <c r="E37">
        <v>5</v>
      </c>
      <c r="F37" t="str">
        <f t="shared" si="0"/>
        <v>NONE</v>
      </c>
      <c r="G37">
        <v>0</v>
      </c>
      <c r="H37" t="s">
        <v>23</v>
      </c>
      <c r="I37">
        <v>5</v>
      </c>
      <c r="J37">
        <v>0</v>
      </c>
      <c r="K37">
        <v>0.45</v>
      </c>
      <c r="L37">
        <v>0</v>
      </c>
      <c r="M37" t="s">
        <v>23</v>
      </c>
      <c r="N37" t="s">
        <v>1274</v>
      </c>
      <c r="O37" t="s">
        <v>24</v>
      </c>
      <c r="P37" t="s">
        <v>710</v>
      </c>
      <c r="Q37" t="s">
        <v>846</v>
      </c>
      <c r="S37" t="s">
        <v>847</v>
      </c>
      <c r="T37" t="b">
        <v>1</v>
      </c>
      <c r="U37" t="s">
        <v>848</v>
      </c>
      <c r="V37">
        <v>9109</v>
      </c>
      <c r="W37" t="s">
        <v>1284</v>
      </c>
      <c r="X37" t="s">
        <v>1276</v>
      </c>
      <c r="Y37">
        <v>2</v>
      </c>
      <c r="Z37">
        <v>2026</v>
      </c>
      <c r="AA37" t="s">
        <v>1418</v>
      </c>
      <c r="AF37" t="s">
        <v>1278</v>
      </c>
      <c r="AG37">
        <v>33782</v>
      </c>
      <c r="AH37" t="s">
        <v>1278</v>
      </c>
      <c r="AI37" t="s">
        <v>1419</v>
      </c>
      <c r="AJ37" t="s">
        <v>1280</v>
      </c>
      <c r="AK37" t="s">
        <v>1280</v>
      </c>
      <c r="BA37" t="s">
        <v>1282</v>
      </c>
      <c r="BB37" t="b">
        <v>1</v>
      </c>
      <c r="BF37" t="s">
        <v>1420</v>
      </c>
    </row>
    <row r="38" spans="1:58" x14ac:dyDescent="0.2">
      <c r="A38" t="s">
        <v>849</v>
      </c>
      <c r="C38" t="s">
        <v>22</v>
      </c>
      <c r="D38" s="1">
        <v>45000.663888888892</v>
      </c>
      <c r="E38">
        <v>5</v>
      </c>
      <c r="F38" t="str">
        <f t="shared" si="0"/>
        <v>NONE</v>
      </c>
      <c r="G38">
        <v>0</v>
      </c>
      <c r="H38" t="s">
        <v>23</v>
      </c>
      <c r="I38">
        <v>5</v>
      </c>
      <c r="J38">
        <v>0</v>
      </c>
      <c r="K38">
        <v>0.45</v>
      </c>
      <c r="L38">
        <v>0</v>
      </c>
      <c r="M38" t="s">
        <v>23</v>
      </c>
      <c r="N38" t="s">
        <v>1274</v>
      </c>
      <c r="O38" t="s">
        <v>24</v>
      </c>
      <c r="P38" t="s">
        <v>710</v>
      </c>
      <c r="Q38" t="s">
        <v>850</v>
      </c>
      <c r="S38" t="s">
        <v>851</v>
      </c>
      <c r="T38" t="b">
        <v>1</v>
      </c>
      <c r="U38" t="s">
        <v>852</v>
      </c>
      <c r="V38">
        <v>6832</v>
      </c>
      <c r="W38" t="s">
        <v>1275</v>
      </c>
      <c r="X38" t="s">
        <v>1276</v>
      </c>
      <c r="Y38">
        <v>7</v>
      </c>
      <c r="Z38">
        <v>2023</v>
      </c>
      <c r="AA38" t="s">
        <v>1421</v>
      </c>
      <c r="AF38" t="s">
        <v>1278</v>
      </c>
      <c r="AG38">
        <v>64086</v>
      </c>
      <c r="AH38" t="s">
        <v>1278</v>
      </c>
      <c r="AI38" t="s">
        <v>1422</v>
      </c>
      <c r="AK38" t="s">
        <v>1280</v>
      </c>
      <c r="BA38" t="s">
        <v>1282</v>
      </c>
      <c r="BB38" t="b">
        <v>1</v>
      </c>
      <c r="BF38" t="s">
        <v>1423</v>
      </c>
    </row>
    <row r="39" spans="1:58" x14ac:dyDescent="0.2">
      <c r="A39" t="s">
        <v>853</v>
      </c>
      <c r="C39" t="s">
        <v>22</v>
      </c>
      <c r="D39" s="1">
        <v>45000.660416666666</v>
      </c>
      <c r="E39">
        <v>5</v>
      </c>
      <c r="F39" t="str">
        <f t="shared" si="0"/>
        <v>NONE</v>
      </c>
      <c r="G39">
        <v>0</v>
      </c>
      <c r="H39" t="s">
        <v>23</v>
      </c>
      <c r="I39">
        <v>5</v>
      </c>
      <c r="J39">
        <v>0</v>
      </c>
      <c r="K39">
        <v>0.45</v>
      </c>
      <c r="L39">
        <v>0</v>
      </c>
      <c r="M39" t="s">
        <v>23</v>
      </c>
      <c r="N39" t="s">
        <v>1274</v>
      </c>
      <c r="O39" t="s">
        <v>24</v>
      </c>
      <c r="P39" t="s">
        <v>710</v>
      </c>
      <c r="Q39" t="s">
        <v>854</v>
      </c>
      <c r="S39" t="s">
        <v>855</v>
      </c>
      <c r="T39" t="b">
        <v>1</v>
      </c>
      <c r="U39" t="s">
        <v>856</v>
      </c>
      <c r="V39">
        <v>7780</v>
      </c>
      <c r="W39" t="s">
        <v>1275</v>
      </c>
      <c r="X39" t="s">
        <v>1307</v>
      </c>
      <c r="Y39">
        <v>4</v>
      </c>
      <c r="Z39">
        <v>2026</v>
      </c>
      <c r="AA39" t="s">
        <v>1424</v>
      </c>
      <c r="AF39" t="s">
        <v>1278</v>
      </c>
      <c r="AG39">
        <v>3054</v>
      </c>
      <c r="AH39" t="s">
        <v>1278</v>
      </c>
      <c r="AI39" t="s">
        <v>1425</v>
      </c>
      <c r="AJ39" t="s">
        <v>1280</v>
      </c>
      <c r="AK39" t="s">
        <v>1280</v>
      </c>
      <c r="BA39" t="s">
        <v>1282</v>
      </c>
      <c r="BB39" t="b">
        <v>1</v>
      </c>
      <c r="BF39" t="s">
        <v>1426</v>
      </c>
    </row>
    <row r="40" spans="1:58" x14ac:dyDescent="0.2">
      <c r="A40" t="s">
        <v>857</v>
      </c>
      <c r="C40" t="s">
        <v>22</v>
      </c>
      <c r="D40" s="1">
        <v>45000.656944444447</v>
      </c>
      <c r="E40">
        <v>5</v>
      </c>
      <c r="F40" t="str">
        <f t="shared" si="0"/>
        <v>NONE</v>
      </c>
      <c r="G40">
        <v>0</v>
      </c>
      <c r="H40" t="s">
        <v>23</v>
      </c>
      <c r="I40">
        <v>5</v>
      </c>
      <c r="J40">
        <v>0</v>
      </c>
      <c r="K40">
        <v>0.45</v>
      </c>
      <c r="L40">
        <v>0</v>
      </c>
      <c r="M40" t="s">
        <v>23</v>
      </c>
      <c r="N40" t="s">
        <v>1274</v>
      </c>
      <c r="O40" t="s">
        <v>24</v>
      </c>
      <c r="P40" t="s">
        <v>710</v>
      </c>
      <c r="Q40" t="s">
        <v>858</v>
      </c>
      <c r="S40" t="s">
        <v>615</v>
      </c>
      <c r="T40" t="b">
        <v>1</v>
      </c>
      <c r="U40" t="s">
        <v>859</v>
      </c>
      <c r="V40">
        <v>9580</v>
      </c>
      <c r="W40" t="s">
        <v>1275</v>
      </c>
      <c r="X40" t="s">
        <v>1276</v>
      </c>
      <c r="Y40">
        <v>5</v>
      </c>
      <c r="Z40">
        <v>2024</v>
      </c>
      <c r="AA40" t="s">
        <v>1427</v>
      </c>
      <c r="AB40" t="s">
        <v>1428</v>
      </c>
      <c r="AD40" t="s">
        <v>1429</v>
      </c>
      <c r="AE40" t="s">
        <v>1430</v>
      </c>
      <c r="AF40" t="s">
        <v>1278</v>
      </c>
      <c r="AG40">
        <v>17055</v>
      </c>
      <c r="AH40" t="s">
        <v>1278</v>
      </c>
      <c r="AI40" t="s">
        <v>1431</v>
      </c>
      <c r="AK40" t="s">
        <v>1280</v>
      </c>
      <c r="AL40" t="s">
        <v>1281</v>
      </c>
      <c r="BA40" t="s">
        <v>1282</v>
      </c>
      <c r="BB40" t="b">
        <v>1</v>
      </c>
      <c r="BF40" t="s">
        <v>1432</v>
      </c>
    </row>
    <row r="41" spans="1:58" x14ac:dyDescent="0.2">
      <c r="A41" t="s">
        <v>860</v>
      </c>
      <c r="C41" t="s">
        <v>22</v>
      </c>
      <c r="D41" s="1">
        <v>45000.655555555553</v>
      </c>
      <c r="E41">
        <v>5</v>
      </c>
      <c r="F41" t="str">
        <f t="shared" si="0"/>
        <v>NONE</v>
      </c>
      <c r="G41">
        <v>0</v>
      </c>
      <c r="H41" t="s">
        <v>23</v>
      </c>
      <c r="I41">
        <v>5</v>
      </c>
      <c r="J41">
        <v>0</v>
      </c>
      <c r="K41">
        <v>0.45</v>
      </c>
      <c r="L41">
        <v>0</v>
      </c>
      <c r="M41" t="s">
        <v>23</v>
      </c>
      <c r="N41" t="s">
        <v>1274</v>
      </c>
      <c r="O41" t="s">
        <v>24</v>
      </c>
      <c r="P41" t="s">
        <v>710</v>
      </c>
      <c r="Q41" t="s">
        <v>861</v>
      </c>
      <c r="S41" t="s">
        <v>862</v>
      </c>
      <c r="T41" t="b">
        <v>1</v>
      </c>
      <c r="U41" t="s">
        <v>863</v>
      </c>
      <c r="V41">
        <v>6005</v>
      </c>
      <c r="W41" t="s">
        <v>1331</v>
      </c>
      <c r="X41" t="s">
        <v>1276</v>
      </c>
      <c r="Y41">
        <v>12</v>
      </c>
      <c r="Z41">
        <v>2024</v>
      </c>
      <c r="AA41" t="s">
        <v>1433</v>
      </c>
      <c r="AF41" t="s">
        <v>1278</v>
      </c>
      <c r="AG41">
        <v>48116</v>
      </c>
      <c r="AH41" t="s">
        <v>1278</v>
      </c>
      <c r="AI41" t="s">
        <v>1434</v>
      </c>
      <c r="AJ41" t="s">
        <v>1280</v>
      </c>
      <c r="AK41" t="s">
        <v>1280</v>
      </c>
      <c r="BA41" t="s">
        <v>1282</v>
      </c>
      <c r="BB41" t="b">
        <v>1</v>
      </c>
      <c r="BF41" t="s">
        <v>1435</v>
      </c>
    </row>
    <row r="42" spans="1:58" x14ac:dyDescent="0.2">
      <c r="A42" t="s">
        <v>864</v>
      </c>
      <c r="C42" t="s">
        <v>22</v>
      </c>
      <c r="D42" s="1">
        <v>45000.643750000003</v>
      </c>
      <c r="E42">
        <v>5</v>
      </c>
      <c r="F42" t="str">
        <f t="shared" si="0"/>
        <v>NONE</v>
      </c>
      <c r="G42">
        <v>0</v>
      </c>
      <c r="H42" t="s">
        <v>23</v>
      </c>
      <c r="I42">
        <v>5</v>
      </c>
      <c r="J42">
        <v>0</v>
      </c>
      <c r="K42">
        <v>0.45</v>
      </c>
      <c r="L42">
        <v>0</v>
      </c>
      <c r="M42" t="s">
        <v>23</v>
      </c>
      <c r="N42" t="s">
        <v>1274</v>
      </c>
      <c r="O42" t="s">
        <v>24</v>
      </c>
      <c r="P42" t="s">
        <v>710</v>
      </c>
      <c r="Q42" t="s">
        <v>865</v>
      </c>
      <c r="S42" t="s">
        <v>302</v>
      </c>
      <c r="T42" t="b">
        <v>1</v>
      </c>
      <c r="U42" t="s">
        <v>866</v>
      </c>
      <c r="V42">
        <v>2434</v>
      </c>
      <c r="W42" t="s">
        <v>1275</v>
      </c>
      <c r="X42" t="s">
        <v>1307</v>
      </c>
      <c r="Y42">
        <v>2</v>
      </c>
      <c r="Z42">
        <v>2027</v>
      </c>
      <c r="AA42" t="s">
        <v>1436</v>
      </c>
      <c r="AF42" t="s">
        <v>1278</v>
      </c>
      <c r="AG42">
        <v>29072</v>
      </c>
      <c r="AH42" t="s">
        <v>1278</v>
      </c>
      <c r="AI42" t="s">
        <v>1437</v>
      </c>
      <c r="AJ42" t="s">
        <v>1280</v>
      </c>
      <c r="AK42" t="s">
        <v>1280</v>
      </c>
      <c r="BA42" t="s">
        <v>1282</v>
      </c>
      <c r="BB42" t="b">
        <v>0</v>
      </c>
      <c r="BF42" t="s">
        <v>1438</v>
      </c>
    </row>
    <row r="43" spans="1:58" x14ac:dyDescent="0.2">
      <c r="A43" t="s">
        <v>867</v>
      </c>
      <c r="C43" t="s">
        <v>22</v>
      </c>
      <c r="D43" s="1">
        <v>45000.643750000003</v>
      </c>
      <c r="E43">
        <v>5</v>
      </c>
      <c r="F43" t="str">
        <f t="shared" si="0"/>
        <v>NONE</v>
      </c>
      <c r="G43">
        <v>0</v>
      </c>
      <c r="H43" t="s">
        <v>23</v>
      </c>
      <c r="I43">
        <v>5</v>
      </c>
      <c r="J43">
        <v>0</v>
      </c>
      <c r="K43">
        <v>0.45</v>
      </c>
      <c r="L43">
        <v>0</v>
      </c>
      <c r="M43" t="s">
        <v>23</v>
      </c>
      <c r="N43" t="s">
        <v>1274</v>
      </c>
      <c r="O43" t="s">
        <v>24</v>
      </c>
      <c r="P43" t="s">
        <v>710</v>
      </c>
      <c r="Q43" t="s">
        <v>868</v>
      </c>
      <c r="S43" t="s">
        <v>406</v>
      </c>
      <c r="T43" t="b">
        <v>1</v>
      </c>
      <c r="U43" t="s">
        <v>869</v>
      </c>
      <c r="V43">
        <v>7815</v>
      </c>
      <c r="W43" t="s">
        <v>1275</v>
      </c>
      <c r="X43" t="s">
        <v>1276</v>
      </c>
      <c r="Y43">
        <v>12</v>
      </c>
      <c r="Z43">
        <v>2023</v>
      </c>
      <c r="AA43" t="s">
        <v>1439</v>
      </c>
      <c r="AB43" t="s">
        <v>1440</v>
      </c>
      <c r="AD43" t="s">
        <v>1441</v>
      </c>
      <c r="AE43" t="s">
        <v>1430</v>
      </c>
      <c r="AF43" t="s">
        <v>1278</v>
      </c>
      <c r="AG43">
        <v>19311</v>
      </c>
      <c r="AH43" t="s">
        <v>1278</v>
      </c>
      <c r="AI43" t="s">
        <v>1442</v>
      </c>
      <c r="AK43" t="s">
        <v>1280</v>
      </c>
      <c r="AL43" t="s">
        <v>1280</v>
      </c>
      <c r="AM43" t="s">
        <v>1299</v>
      </c>
      <c r="BA43" t="s">
        <v>1282</v>
      </c>
      <c r="BB43" t="b">
        <v>0</v>
      </c>
      <c r="BF43" t="s">
        <v>1443</v>
      </c>
    </row>
    <row r="44" spans="1:58" x14ac:dyDescent="0.2">
      <c r="A44" t="s">
        <v>870</v>
      </c>
      <c r="C44" t="s">
        <v>22</v>
      </c>
      <c r="D44" s="1">
        <v>45000.631944444445</v>
      </c>
      <c r="E44">
        <v>5</v>
      </c>
      <c r="F44" t="str">
        <f t="shared" si="0"/>
        <v>NONE</v>
      </c>
      <c r="G44">
        <v>0</v>
      </c>
      <c r="H44" t="s">
        <v>23</v>
      </c>
      <c r="I44">
        <v>5</v>
      </c>
      <c r="J44">
        <v>0</v>
      </c>
      <c r="K44">
        <v>0.45</v>
      </c>
      <c r="L44">
        <v>0</v>
      </c>
      <c r="M44" t="s">
        <v>23</v>
      </c>
      <c r="N44" t="s">
        <v>1274</v>
      </c>
      <c r="O44" t="s">
        <v>24</v>
      </c>
      <c r="P44" t="s">
        <v>710</v>
      </c>
      <c r="Q44" t="s">
        <v>871</v>
      </c>
      <c r="S44" t="s">
        <v>872</v>
      </c>
      <c r="T44" t="b">
        <v>1</v>
      </c>
      <c r="U44" t="s">
        <v>873</v>
      </c>
      <c r="V44">
        <v>8615</v>
      </c>
      <c r="W44" t="s">
        <v>1275</v>
      </c>
      <c r="X44" t="s">
        <v>1307</v>
      </c>
      <c r="Y44">
        <v>12</v>
      </c>
      <c r="Z44">
        <v>2023</v>
      </c>
      <c r="AA44" t="s">
        <v>1444</v>
      </c>
      <c r="AB44" t="s">
        <v>1445</v>
      </c>
      <c r="AC44">
        <v>608</v>
      </c>
      <c r="AD44" t="s">
        <v>1446</v>
      </c>
      <c r="AE44" t="s">
        <v>1447</v>
      </c>
      <c r="AF44" t="s">
        <v>1278</v>
      </c>
      <c r="AG44">
        <v>34236</v>
      </c>
      <c r="AH44" t="s">
        <v>1278</v>
      </c>
      <c r="AI44" t="s">
        <v>1448</v>
      </c>
      <c r="AK44" t="s">
        <v>1280</v>
      </c>
      <c r="AL44" t="s">
        <v>1280</v>
      </c>
      <c r="AM44" t="s">
        <v>1299</v>
      </c>
      <c r="BA44" t="s">
        <v>1282</v>
      </c>
      <c r="BB44" t="b">
        <v>0</v>
      </c>
      <c r="BF44" t="s">
        <v>1449</v>
      </c>
    </row>
    <row r="45" spans="1:58" x14ac:dyDescent="0.2">
      <c r="A45" t="s">
        <v>874</v>
      </c>
      <c r="C45" t="s">
        <v>22</v>
      </c>
      <c r="D45" s="1">
        <v>45000.622916666667</v>
      </c>
      <c r="E45">
        <v>3.75</v>
      </c>
      <c r="F45" t="str">
        <f t="shared" si="0"/>
        <v>EMAIL</v>
      </c>
      <c r="G45">
        <v>0</v>
      </c>
      <c r="H45" t="s">
        <v>23</v>
      </c>
      <c r="I45">
        <v>3.75</v>
      </c>
      <c r="J45">
        <v>0</v>
      </c>
      <c r="K45">
        <v>0.41</v>
      </c>
      <c r="L45">
        <v>0</v>
      </c>
      <c r="M45" t="s">
        <v>23</v>
      </c>
      <c r="N45" t="s">
        <v>1274</v>
      </c>
      <c r="O45" t="s">
        <v>24</v>
      </c>
      <c r="P45" t="s">
        <v>710</v>
      </c>
      <c r="Q45" t="s">
        <v>875</v>
      </c>
      <c r="S45" t="s">
        <v>876</v>
      </c>
      <c r="T45" t="b">
        <v>1</v>
      </c>
      <c r="U45" t="s">
        <v>877</v>
      </c>
      <c r="V45">
        <v>2257</v>
      </c>
      <c r="W45" t="s">
        <v>1284</v>
      </c>
      <c r="X45" t="s">
        <v>1307</v>
      </c>
      <c r="Y45">
        <v>2</v>
      </c>
      <c r="Z45">
        <v>2024</v>
      </c>
      <c r="AA45" t="s">
        <v>1450</v>
      </c>
      <c r="AF45" t="s">
        <v>1278</v>
      </c>
      <c r="AG45">
        <v>46617</v>
      </c>
      <c r="AH45" t="s">
        <v>1278</v>
      </c>
      <c r="AI45" t="s">
        <v>1451</v>
      </c>
      <c r="AJ45" t="s">
        <v>1280</v>
      </c>
      <c r="AK45" t="s">
        <v>1280</v>
      </c>
      <c r="BA45" t="s">
        <v>1282</v>
      </c>
      <c r="BB45" t="b">
        <v>0</v>
      </c>
      <c r="BF45" t="s">
        <v>1452</v>
      </c>
    </row>
    <row r="46" spans="1:58" x14ac:dyDescent="0.2">
      <c r="A46" t="s">
        <v>878</v>
      </c>
      <c r="C46" t="s">
        <v>22</v>
      </c>
      <c r="D46" s="1">
        <v>45000.592361111114</v>
      </c>
      <c r="E46">
        <v>5</v>
      </c>
      <c r="F46" t="str">
        <f t="shared" si="0"/>
        <v>NONE</v>
      </c>
      <c r="G46">
        <v>0</v>
      </c>
      <c r="H46" t="s">
        <v>23</v>
      </c>
      <c r="I46">
        <v>5</v>
      </c>
      <c r="J46">
        <v>0</v>
      </c>
      <c r="K46">
        <v>0.45</v>
      </c>
      <c r="L46">
        <v>0</v>
      </c>
      <c r="M46" t="s">
        <v>23</v>
      </c>
      <c r="N46" t="s">
        <v>1274</v>
      </c>
      <c r="O46" t="s">
        <v>24</v>
      </c>
      <c r="P46" t="s">
        <v>710</v>
      </c>
      <c r="Q46" t="s">
        <v>879</v>
      </c>
      <c r="S46" t="s">
        <v>880</v>
      </c>
      <c r="T46" t="b">
        <v>1</v>
      </c>
      <c r="U46" t="s">
        <v>881</v>
      </c>
      <c r="V46">
        <v>5381</v>
      </c>
      <c r="W46" t="s">
        <v>1275</v>
      </c>
      <c r="X46" t="s">
        <v>1276</v>
      </c>
      <c r="Y46">
        <v>9</v>
      </c>
      <c r="Z46">
        <v>2023</v>
      </c>
      <c r="AA46" t="s">
        <v>1453</v>
      </c>
      <c r="AB46" t="s">
        <v>1454</v>
      </c>
      <c r="AD46" t="s">
        <v>1455</v>
      </c>
      <c r="AE46" t="s">
        <v>1297</v>
      </c>
      <c r="AF46" t="s">
        <v>1278</v>
      </c>
      <c r="AG46">
        <v>12309</v>
      </c>
      <c r="AH46" t="s">
        <v>1278</v>
      </c>
      <c r="AI46" t="s">
        <v>1456</v>
      </c>
      <c r="AK46" t="s">
        <v>1280</v>
      </c>
      <c r="AL46" t="s">
        <v>1280</v>
      </c>
      <c r="AM46" t="s">
        <v>1351</v>
      </c>
      <c r="BA46" t="s">
        <v>1282</v>
      </c>
      <c r="BB46" t="b">
        <v>0</v>
      </c>
      <c r="BF46" t="s">
        <v>1457</v>
      </c>
    </row>
    <row r="47" spans="1:58" x14ac:dyDescent="0.2">
      <c r="A47" t="s">
        <v>882</v>
      </c>
      <c r="C47" t="s">
        <v>22</v>
      </c>
      <c r="D47" s="1">
        <v>45000.577777777777</v>
      </c>
      <c r="E47">
        <v>5</v>
      </c>
      <c r="F47" t="str">
        <f t="shared" si="0"/>
        <v>NONE</v>
      </c>
      <c r="G47">
        <v>0</v>
      </c>
      <c r="H47" t="s">
        <v>23</v>
      </c>
      <c r="I47">
        <v>5</v>
      </c>
      <c r="J47">
        <v>0</v>
      </c>
      <c r="K47">
        <v>0.45</v>
      </c>
      <c r="L47">
        <v>0</v>
      </c>
      <c r="M47" t="s">
        <v>23</v>
      </c>
      <c r="N47" t="s">
        <v>1274</v>
      </c>
      <c r="O47" t="s">
        <v>24</v>
      </c>
      <c r="P47" t="s">
        <v>710</v>
      </c>
      <c r="Q47" t="s">
        <v>883</v>
      </c>
      <c r="S47" t="s">
        <v>884</v>
      </c>
      <c r="T47" t="b">
        <v>1</v>
      </c>
      <c r="U47" t="s">
        <v>885</v>
      </c>
      <c r="V47">
        <v>4560</v>
      </c>
      <c r="W47" t="s">
        <v>1275</v>
      </c>
      <c r="X47" t="s">
        <v>1307</v>
      </c>
      <c r="Y47">
        <v>12</v>
      </c>
      <c r="Z47">
        <v>2025</v>
      </c>
      <c r="AA47" t="s">
        <v>1458</v>
      </c>
      <c r="AF47" t="s">
        <v>1278</v>
      </c>
      <c r="AG47">
        <v>30180</v>
      </c>
      <c r="AH47" t="s">
        <v>1278</v>
      </c>
      <c r="AI47" t="s">
        <v>1459</v>
      </c>
      <c r="AJ47" t="s">
        <v>1280</v>
      </c>
      <c r="AK47" t="s">
        <v>1280</v>
      </c>
      <c r="BA47" t="s">
        <v>1282</v>
      </c>
      <c r="BB47" t="b">
        <v>1</v>
      </c>
      <c r="BF47" t="s">
        <v>1460</v>
      </c>
    </row>
    <row r="48" spans="1:58" x14ac:dyDescent="0.2">
      <c r="A48" t="s">
        <v>886</v>
      </c>
      <c r="C48" t="s">
        <v>22</v>
      </c>
      <c r="D48" s="1">
        <v>45000.494444444441</v>
      </c>
      <c r="E48">
        <v>3.75</v>
      </c>
      <c r="F48" t="str">
        <f t="shared" si="0"/>
        <v>EMAIL</v>
      </c>
      <c r="G48">
        <v>0</v>
      </c>
      <c r="H48" t="s">
        <v>23</v>
      </c>
      <c r="I48">
        <v>3.75</v>
      </c>
      <c r="J48">
        <v>0</v>
      </c>
      <c r="K48">
        <v>0.41</v>
      </c>
      <c r="L48">
        <v>0</v>
      </c>
      <c r="M48" t="s">
        <v>23</v>
      </c>
      <c r="N48" t="s">
        <v>1274</v>
      </c>
      <c r="O48" t="s">
        <v>24</v>
      </c>
      <c r="P48" t="s">
        <v>710</v>
      </c>
      <c r="Q48" t="s">
        <v>887</v>
      </c>
      <c r="S48" t="s">
        <v>888</v>
      </c>
      <c r="T48" t="b">
        <v>1</v>
      </c>
      <c r="U48" t="s">
        <v>889</v>
      </c>
      <c r="V48">
        <v>5684</v>
      </c>
      <c r="W48" t="s">
        <v>1275</v>
      </c>
      <c r="X48" t="s">
        <v>1276</v>
      </c>
      <c r="Y48">
        <v>4</v>
      </c>
      <c r="Z48">
        <v>2027</v>
      </c>
      <c r="AA48" t="s">
        <v>1461</v>
      </c>
      <c r="AF48" t="s">
        <v>1278</v>
      </c>
      <c r="AG48">
        <v>56308</v>
      </c>
      <c r="AH48" t="s">
        <v>1278</v>
      </c>
      <c r="AI48" t="s">
        <v>1462</v>
      </c>
      <c r="AJ48" t="s">
        <v>1280</v>
      </c>
      <c r="AK48" t="s">
        <v>1280</v>
      </c>
      <c r="BA48" t="s">
        <v>1282</v>
      </c>
      <c r="BB48" t="b">
        <v>1</v>
      </c>
      <c r="BF48" t="s">
        <v>1463</v>
      </c>
    </row>
    <row r="49" spans="1:58" x14ac:dyDescent="0.2">
      <c r="A49" t="s">
        <v>890</v>
      </c>
      <c r="C49" t="s">
        <v>22</v>
      </c>
      <c r="D49" s="1">
        <v>45000.432638888888</v>
      </c>
      <c r="E49">
        <v>5</v>
      </c>
      <c r="F49" t="str">
        <f t="shared" si="0"/>
        <v>NONE</v>
      </c>
      <c r="G49">
        <v>0</v>
      </c>
      <c r="H49" t="s">
        <v>23</v>
      </c>
      <c r="I49">
        <v>5</v>
      </c>
      <c r="J49">
        <v>0</v>
      </c>
      <c r="K49">
        <v>0.45</v>
      </c>
      <c r="L49">
        <v>0</v>
      </c>
      <c r="M49" t="s">
        <v>23</v>
      </c>
      <c r="N49" t="s">
        <v>1274</v>
      </c>
      <c r="O49" t="s">
        <v>24</v>
      </c>
      <c r="P49" t="s">
        <v>710</v>
      </c>
      <c r="Q49" t="s">
        <v>891</v>
      </c>
      <c r="S49" t="s">
        <v>892</v>
      </c>
      <c r="T49" t="b">
        <v>1</v>
      </c>
      <c r="U49" t="s">
        <v>893</v>
      </c>
      <c r="V49">
        <v>6070</v>
      </c>
      <c r="W49" t="s">
        <v>1284</v>
      </c>
      <c r="X49" t="s">
        <v>1276</v>
      </c>
      <c r="Y49">
        <v>2</v>
      </c>
      <c r="Z49">
        <v>2027</v>
      </c>
      <c r="AA49" t="s">
        <v>1464</v>
      </c>
      <c r="AF49" t="s">
        <v>1278</v>
      </c>
      <c r="AG49">
        <v>48348</v>
      </c>
      <c r="AH49" t="s">
        <v>1278</v>
      </c>
      <c r="AI49" t="s">
        <v>1465</v>
      </c>
      <c r="AJ49" t="s">
        <v>1280</v>
      </c>
      <c r="AK49" t="s">
        <v>1280</v>
      </c>
      <c r="BA49" t="s">
        <v>1282</v>
      </c>
      <c r="BB49" t="b">
        <v>1</v>
      </c>
      <c r="BF49" t="s">
        <v>1466</v>
      </c>
    </row>
    <row r="50" spans="1:58" x14ac:dyDescent="0.2">
      <c r="A50" t="s">
        <v>894</v>
      </c>
      <c r="C50" t="s">
        <v>22</v>
      </c>
      <c r="D50" s="1">
        <v>45000.349305555559</v>
      </c>
      <c r="E50">
        <v>5</v>
      </c>
      <c r="F50" t="str">
        <f t="shared" si="0"/>
        <v>NONE</v>
      </c>
      <c r="G50">
        <v>0</v>
      </c>
      <c r="H50" t="s">
        <v>23</v>
      </c>
      <c r="I50">
        <v>5</v>
      </c>
      <c r="J50">
        <v>0</v>
      </c>
      <c r="K50">
        <v>0.45</v>
      </c>
      <c r="L50">
        <v>0</v>
      </c>
      <c r="M50" t="s">
        <v>23</v>
      </c>
      <c r="N50" t="s">
        <v>1274</v>
      </c>
      <c r="O50" t="s">
        <v>24</v>
      </c>
      <c r="P50" t="s">
        <v>710</v>
      </c>
      <c r="Q50" t="s">
        <v>895</v>
      </c>
      <c r="S50" t="s">
        <v>896</v>
      </c>
      <c r="T50" t="b">
        <v>1</v>
      </c>
      <c r="U50" t="s">
        <v>897</v>
      </c>
      <c r="V50">
        <v>4914</v>
      </c>
      <c r="W50" t="s">
        <v>1467</v>
      </c>
      <c r="X50" t="s">
        <v>1276</v>
      </c>
      <c r="Y50">
        <v>3</v>
      </c>
      <c r="Z50">
        <v>2027</v>
      </c>
      <c r="AA50" t="s">
        <v>1468</v>
      </c>
      <c r="AF50" t="s">
        <v>1278</v>
      </c>
      <c r="AG50">
        <v>36695</v>
      </c>
      <c r="AH50" t="s">
        <v>1278</v>
      </c>
      <c r="AI50" t="s">
        <v>1469</v>
      </c>
      <c r="AJ50" t="s">
        <v>1280</v>
      </c>
      <c r="AK50" t="s">
        <v>1280</v>
      </c>
      <c r="BA50" t="s">
        <v>1282</v>
      </c>
      <c r="BB50" t="b">
        <v>1</v>
      </c>
      <c r="BF50" t="s">
        <v>1470</v>
      </c>
    </row>
    <row r="51" spans="1:58" x14ac:dyDescent="0.2">
      <c r="A51" t="s">
        <v>898</v>
      </c>
      <c r="C51" t="s">
        <v>22</v>
      </c>
      <c r="D51" s="1">
        <v>45000.180555555555</v>
      </c>
      <c r="E51">
        <v>5</v>
      </c>
      <c r="F51" t="str">
        <f t="shared" si="0"/>
        <v>NONE</v>
      </c>
      <c r="G51">
        <v>0</v>
      </c>
      <c r="H51" t="s">
        <v>23</v>
      </c>
      <c r="I51">
        <v>5</v>
      </c>
      <c r="J51">
        <v>0</v>
      </c>
      <c r="K51">
        <v>0.45</v>
      </c>
      <c r="L51">
        <v>0</v>
      </c>
      <c r="M51" t="s">
        <v>23</v>
      </c>
      <c r="N51" t="s">
        <v>1274</v>
      </c>
      <c r="O51" t="s">
        <v>24</v>
      </c>
      <c r="P51" t="s">
        <v>710</v>
      </c>
      <c r="Q51" t="s">
        <v>899</v>
      </c>
      <c r="S51" t="s">
        <v>900</v>
      </c>
      <c r="T51" t="b">
        <v>1</v>
      </c>
      <c r="U51" t="s">
        <v>901</v>
      </c>
      <c r="V51">
        <v>8559</v>
      </c>
      <c r="W51" t="s">
        <v>1284</v>
      </c>
      <c r="X51" t="s">
        <v>1307</v>
      </c>
      <c r="Y51">
        <v>10</v>
      </c>
      <c r="Z51">
        <v>2025</v>
      </c>
      <c r="AA51" t="s">
        <v>1471</v>
      </c>
      <c r="AB51" t="s">
        <v>1472</v>
      </c>
      <c r="AD51" t="s">
        <v>1473</v>
      </c>
      <c r="AE51" t="s">
        <v>1474</v>
      </c>
      <c r="AF51" t="s">
        <v>1278</v>
      </c>
      <c r="AG51">
        <v>53029</v>
      </c>
      <c r="AH51" t="s">
        <v>1278</v>
      </c>
      <c r="AI51" t="s">
        <v>1475</v>
      </c>
      <c r="AK51" t="s">
        <v>1280</v>
      </c>
      <c r="AL51" t="s">
        <v>1280</v>
      </c>
      <c r="AM51" t="s">
        <v>1299</v>
      </c>
      <c r="BA51" t="s">
        <v>1282</v>
      </c>
      <c r="BB51" t="b">
        <v>0</v>
      </c>
      <c r="BF51" t="s">
        <v>1476</v>
      </c>
    </row>
    <row r="52" spans="1:58" x14ac:dyDescent="0.2">
      <c r="A52" t="s">
        <v>902</v>
      </c>
      <c r="C52" t="s">
        <v>22</v>
      </c>
      <c r="D52" s="1">
        <v>45000.177083333336</v>
      </c>
      <c r="E52">
        <v>5</v>
      </c>
      <c r="F52" t="str">
        <f t="shared" si="0"/>
        <v>NONE</v>
      </c>
      <c r="G52">
        <v>0</v>
      </c>
      <c r="H52" t="s">
        <v>23</v>
      </c>
      <c r="I52">
        <v>5</v>
      </c>
      <c r="J52">
        <v>0</v>
      </c>
      <c r="K52">
        <v>0.45</v>
      </c>
      <c r="L52">
        <v>0</v>
      </c>
      <c r="M52" t="s">
        <v>23</v>
      </c>
      <c r="N52" t="s">
        <v>1274</v>
      </c>
      <c r="O52" t="s">
        <v>24</v>
      </c>
      <c r="P52" t="s">
        <v>710</v>
      </c>
      <c r="Q52" t="s">
        <v>903</v>
      </c>
      <c r="S52" t="s">
        <v>904</v>
      </c>
      <c r="T52" t="b">
        <v>1</v>
      </c>
      <c r="U52" t="s">
        <v>905</v>
      </c>
      <c r="V52">
        <v>9893</v>
      </c>
      <c r="W52" t="s">
        <v>1284</v>
      </c>
      <c r="X52" t="s">
        <v>1276</v>
      </c>
      <c r="Y52">
        <v>12</v>
      </c>
      <c r="Z52">
        <v>2026</v>
      </c>
      <c r="AA52" t="s">
        <v>1477</v>
      </c>
      <c r="AF52" t="s">
        <v>1278</v>
      </c>
      <c r="AG52">
        <v>51334</v>
      </c>
      <c r="AH52" t="s">
        <v>1278</v>
      </c>
      <c r="AI52" t="s">
        <v>1478</v>
      </c>
      <c r="AJ52" t="s">
        <v>1280</v>
      </c>
      <c r="AK52" t="s">
        <v>1280</v>
      </c>
      <c r="BA52" t="s">
        <v>1282</v>
      </c>
      <c r="BB52" t="b">
        <v>1</v>
      </c>
      <c r="BF52" t="s">
        <v>1479</v>
      </c>
    </row>
    <row r="53" spans="1:58" x14ac:dyDescent="0.2">
      <c r="A53" t="s">
        <v>906</v>
      </c>
      <c r="C53" t="s">
        <v>22</v>
      </c>
      <c r="D53" s="1">
        <v>45000.174305555556</v>
      </c>
      <c r="E53">
        <v>3.75</v>
      </c>
      <c r="F53" t="str">
        <f t="shared" si="0"/>
        <v>EMAIL</v>
      </c>
      <c r="G53">
        <v>0</v>
      </c>
      <c r="H53" t="s">
        <v>23</v>
      </c>
      <c r="I53">
        <v>3.75</v>
      </c>
      <c r="J53">
        <v>0</v>
      </c>
      <c r="K53">
        <v>0.41</v>
      </c>
      <c r="L53">
        <v>0</v>
      </c>
      <c r="M53" t="s">
        <v>23</v>
      </c>
      <c r="N53" t="s">
        <v>1274</v>
      </c>
      <c r="O53" t="s">
        <v>24</v>
      </c>
      <c r="P53" t="s">
        <v>710</v>
      </c>
      <c r="Q53" t="s">
        <v>907</v>
      </c>
      <c r="S53" t="s">
        <v>908</v>
      </c>
      <c r="T53" t="b">
        <v>1</v>
      </c>
      <c r="U53" t="s">
        <v>909</v>
      </c>
      <c r="V53">
        <v>2983</v>
      </c>
      <c r="W53" t="s">
        <v>1275</v>
      </c>
      <c r="X53" t="s">
        <v>1307</v>
      </c>
      <c r="Y53">
        <v>6</v>
      </c>
      <c r="Z53">
        <v>2023</v>
      </c>
      <c r="AA53" t="s">
        <v>1480</v>
      </c>
      <c r="AF53" t="s">
        <v>1278</v>
      </c>
      <c r="AG53">
        <v>22207</v>
      </c>
      <c r="AH53" t="s">
        <v>1278</v>
      </c>
      <c r="AI53" t="s">
        <v>1481</v>
      </c>
      <c r="AJ53" t="s">
        <v>1280</v>
      </c>
      <c r="AK53" t="s">
        <v>1280</v>
      </c>
      <c r="BA53" t="s">
        <v>1282</v>
      </c>
      <c r="BB53" t="b">
        <v>0</v>
      </c>
      <c r="BF53" t="s">
        <v>1482</v>
      </c>
    </row>
    <row r="54" spans="1:58" x14ac:dyDescent="0.2">
      <c r="A54" t="s">
        <v>910</v>
      </c>
      <c r="C54" t="s">
        <v>22</v>
      </c>
      <c r="D54" s="1">
        <v>45000.157638888886</v>
      </c>
      <c r="E54">
        <v>5</v>
      </c>
      <c r="F54" t="str">
        <f t="shared" si="0"/>
        <v>NONE</v>
      </c>
      <c r="G54">
        <v>0</v>
      </c>
      <c r="H54" t="s">
        <v>23</v>
      </c>
      <c r="I54">
        <v>5</v>
      </c>
      <c r="J54">
        <v>0</v>
      </c>
      <c r="K54">
        <v>0.45</v>
      </c>
      <c r="L54">
        <v>0</v>
      </c>
      <c r="M54" t="s">
        <v>23</v>
      </c>
      <c r="N54" t="s">
        <v>1274</v>
      </c>
      <c r="O54" t="s">
        <v>24</v>
      </c>
      <c r="P54" t="s">
        <v>710</v>
      </c>
      <c r="Q54" t="s">
        <v>911</v>
      </c>
      <c r="S54" t="s">
        <v>912</v>
      </c>
      <c r="T54" t="b">
        <v>1</v>
      </c>
      <c r="U54" t="s">
        <v>913</v>
      </c>
      <c r="V54">
        <v>4997</v>
      </c>
      <c r="W54" t="s">
        <v>1284</v>
      </c>
      <c r="X54" t="s">
        <v>1307</v>
      </c>
      <c r="Y54">
        <v>1</v>
      </c>
      <c r="Z54">
        <v>2027</v>
      </c>
      <c r="AA54" t="s">
        <v>1483</v>
      </c>
      <c r="AF54" t="s">
        <v>1278</v>
      </c>
      <c r="AG54">
        <v>48768</v>
      </c>
      <c r="AH54" t="s">
        <v>1278</v>
      </c>
      <c r="AI54" t="s">
        <v>1484</v>
      </c>
      <c r="AJ54" t="s">
        <v>1280</v>
      </c>
      <c r="AK54" t="s">
        <v>1280</v>
      </c>
      <c r="BA54" t="s">
        <v>1282</v>
      </c>
      <c r="BB54" t="b">
        <v>1</v>
      </c>
      <c r="BF54" t="s">
        <v>1485</v>
      </c>
    </row>
    <row r="55" spans="1:58" x14ac:dyDescent="0.2">
      <c r="A55" t="s">
        <v>914</v>
      </c>
      <c r="C55" t="s">
        <v>22</v>
      </c>
      <c r="D55" s="1">
        <v>45000.138194444444</v>
      </c>
      <c r="E55">
        <v>5</v>
      </c>
      <c r="F55" t="str">
        <f t="shared" si="0"/>
        <v>NONE</v>
      </c>
      <c r="G55">
        <v>0</v>
      </c>
      <c r="H55" t="s">
        <v>23</v>
      </c>
      <c r="I55">
        <v>5</v>
      </c>
      <c r="J55">
        <v>0</v>
      </c>
      <c r="K55">
        <v>0.45</v>
      </c>
      <c r="L55">
        <v>0</v>
      </c>
      <c r="M55" t="s">
        <v>23</v>
      </c>
      <c r="N55" t="s">
        <v>1274</v>
      </c>
      <c r="O55" t="s">
        <v>24</v>
      </c>
      <c r="P55" t="s">
        <v>710</v>
      </c>
      <c r="Q55" t="s">
        <v>915</v>
      </c>
      <c r="S55" t="s">
        <v>410</v>
      </c>
      <c r="T55" t="b">
        <v>1</v>
      </c>
      <c r="U55" t="s">
        <v>916</v>
      </c>
      <c r="V55">
        <v>3682</v>
      </c>
      <c r="W55" t="s">
        <v>1275</v>
      </c>
      <c r="X55" t="s">
        <v>1276</v>
      </c>
      <c r="Y55">
        <v>2</v>
      </c>
      <c r="Z55">
        <v>2027</v>
      </c>
      <c r="AA55" t="s">
        <v>1486</v>
      </c>
      <c r="AF55" t="s">
        <v>1362</v>
      </c>
      <c r="AG55" t="s">
        <v>1487</v>
      </c>
      <c r="AH55" t="s">
        <v>1362</v>
      </c>
      <c r="AI55" t="s">
        <v>1488</v>
      </c>
      <c r="AJ55" t="s">
        <v>1280</v>
      </c>
      <c r="AK55" t="s">
        <v>1280</v>
      </c>
      <c r="BA55" t="s">
        <v>1282</v>
      </c>
      <c r="BB55" t="b">
        <v>0</v>
      </c>
      <c r="BF55" t="s">
        <v>1489</v>
      </c>
    </row>
    <row r="56" spans="1:58" x14ac:dyDescent="0.2">
      <c r="A56" t="s">
        <v>917</v>
      </c>
      <c r="C56" t="s">
        <v>22</v>
      </c>
      <c r="D56" s="1">
        <v>45000.12222222222</v>
      </c>
      <c r="E56">
        <v>5</v>
      </c>
      <c r="F56" t="str">
        <f t="shared" si="0"/>
        <v>NONE</v>
      </c>
      <c r="G56">
        <v>0</v>
      </c>
      <c r="H56" t="s">
        <v>23</v>
      </c>
      <c r="I56">
        <v>5</v>
      </c>
      <c r="J56">
        <v>0</v>
      </c>
      <c r="K56">
        <v>0.45</v>
      </c>
      <c r="L56">
        <v>0</v>
      </c>
      <c r="M56" t="s">
        <v>23</v>
      </c>
      <c r="N56" t="s">
        <v>1274</v>
      </c>
      <c r="O56" t="s">
        <v>24</v>
      </c>
      <c r="P56" t="s">
        <v>710</v>
      </c>
      <c r="Q56" t="s">
        <v>918</v>
      </c>
      <c r="S56" t="s">
        <v>919</v>
      </c>
      <c r="T56" t="b">
        <v>1</v>
      </c>
      <c r="U56" t="s">
        <v>920</v>
      </c>
      <c r="V56">
        <v>8000</v>
      </c>
      <c r="W56" t="s">
        <v>1331</v>
      </c>
      <c r="X56" t="s">
        <v>1276</v>
      </c>
      <c r="Y56">
        <v>12</v>
      </c>
      <c r="Z56">
        <v>2026</v>
      </c>
      <c r="AA56" t="s">
        <v>1490</v>
      </c>
      <c r="AF56" t="s">
        <v>1278</v>
      </c>
      <c r="AG56">
        <v>33558</v>
      </c>
      <c r="AH56" t="s">
        <v>1278</v>
      </c>
      <c r="AI56" t="s">
        <v>1491</v>
      </c>
      <c r="AJ56" t="s">
        <v>1280</v>
      </c>
      <c r="AK56" t="s">
        <v>1280</v>
      </c>
      <c r="BA56" t="s">
        <v>1282</v>
      </c>
      <c r="BB56" t="b">
        <v>1</v>
      </c>
      <c r="BF56" t="s">
        <v>1492</v>
      </c>
    </row>
    <row r="57" spans="1:58" x14ac:dyDescent="0.2">
      <c r="A57" t="s">
        <v>921</v>
      </c>
      <c r="C57" t="s">
        <v>22</v>
      </c>
      <c r="D57" s="1">
        <v>45000.098611111112</v>
      </c>
      <c r="E57">
        <v>5</v>
      </c>
      <c r="F57" t="str">
        <f t="shared" si="0"/>
        <v>NONE</v>
      </c>
      <c r="G57">
        <v>0</v>
      </c>
      <c r="H57" t="s">
        <v>23</v>
      </c>
      <c r="I57">
        <v>5</v>
      </c>
      <c r="J57">
        <v>0</v>
      </c>
      <c r="K57">
        <v>0.45</v>
      </c>
      <c r="L57">
        <v>0</v>
      </c>
      <c r="M57" t="s">
        <v>23</v>
      </c>
      <c r="N57" t="s">
        <v>1274</v>
      </c>
      <c r="O57" t="s">
        <v>24</v>
      </c>
      <c r="P57" t="s">
        <v>710</v>
      </c>
      <c r="Q57" t="s">
        <v>922</v>
      </c>
      <c r="S57" t="s">
        <v>923</v>
      </c>
      <c r="T57" t="b">
        <v>1</v>
      </c>
      <c r="U57" t="s">
        <v>924</v>
      </c>
      <c r="V57">
        <v>6370</v>
      </c>
      <c r="W57" t="s">
        <v>1275</v>
      </c>
      <c r="X57" t="s">
        <v>1276</v>
      </c>
      <c r="Y57">
        <v>12</v>
      </c>
      <c r="Z57">
        <v>2023</v>
      </c>
      <c r="AA57" t="s">
        <v>1493</v>
      </c>
      <c r="AB57" t="s">
        <v>1494</v>
      </c>
      <c r="AD57" t="s">
        <v>1495</v>
      </c>
      <c r="AE57" t="s">
        <v>1496</v>
      </c>
      <c r="AF57" t="s">
        <v>1278</v>
      </c>
      <c r="AG57">
        <v>58104</v>
      </c>
      <c r="AH57" t="s">
        <v>1278</v>
      </c>
      <c r="AI57" t="s">
        <v>1497</v>
      </c>
      <c r="AK57" t="s">
        <v>1281</v>
      </c>
      <c r="AL57" t="s">
        <v>1281</v>
      </c>
      <c r="AM57" t="s">
        <v>1299</v>
      </c>
      <c r="BA57" t="s">
        <v>1282</v>
      </c>
      <c r="BB57" t="b">
        <v>0</v>
      </c>
      <c r="BF57" t="s">
        <v>1498</v>
      </c>
    </row>
    <row r="58" spans="1:58" x14ac:dyDescent="0.2">
      <c r="A58" t="s">
        <v>925</v>
      </c>
      <c r="C58" t="s">
        <v>22</v>
      </c>
      <c r="D58" s="1">
        <v>45000.077777777777</v>
      </c>
      <c r="E58">
        <v>5</v>
      </c>
      <c r="F58" t="str">
        <f t="shared" si="0"/>
        <v>NONE</v>
      </c>
      <c r="G58">
        <v>0</v>
      </c>
      <c r="H58" t="s">
        <v>23</v>
      </c>
      <c r="I58">
        <v>5</v>
      </c>
      <c r="J58">
        <v>0</v>
      </c>
      <c r="K58">
        <v>0.45</v>
      </c>
      <c r="L58">
        <v>0</v>
      </c>
      <c r="M58" t="s">
        <v>23</v>
      </c>
      <c r="N58" t="s">
        <v>1274</v>
      </c>
      <c r="O58" t="s">
        <v>24</v>
      </c>
      <c r="P58" t="s">
        <v>710</v>
      </c>
      <c r="Q58" t="s">
        <v>926</v>
      </c>
      <c r="S58" t="s">
        <v>927</v>
      </c>
      <c r="T58" t="b">
        <v>1</v>
      </c>
      <c r="U58" t="s">
        <v>928</v>
      </c>
      <c r="V58">
        <v>2014</v>
      </c>
      <c r="W58" t="s">
        <v>1331</v>
      </c>
      <c r="X58" t="s">
        <v>1276</v>
      </c>
      <c r="Y58">
        <v>3</v>
      </c>
      <c r="Z58">
        <v>2027</v>
      </c>
      <c r="AA58" t="s">
        <v>1499</v>
      </c>
      <c r="AF58" t="s">
        <v>1278</v>
      </c>
      <c r="AG58">
        <v>48823</v>
      </c>
      <c r="AH58" t="s">
        <v>1278</v>
      </c>
      <c r="AI58" t="s">
        <v>1500</v>
      </c>
      <c r="AJ58" t="s">
        <v>1280</v>
      </c>
      <c r="AK58" t="s">
        <v>1280</v>
      </c>
      <c r="BA58" t="s">
        <v>1282</v>
      </c>
      <c r="BB58" t="b">
        <v>0</v>
      </c>
      <c r="BF58" t="s">
        <v>1501</v>
      </c>
    </row>
    <row r="59" spans="1:58" x14ac:dyDescent="0.2">
      <c r="A59" t="s">
        <v>929</v>
      </c>
      <c r="C59" t="s">
        <v>22</v>
      </c>
      <c r="D59" s="1">
        <v>45000.070138888892</v>
      </c>
      <c r="E59">
        <v>5</v>
      </c>
      <c r="F59" t="str">
        <f t="shared" si="0"/>
        <v>NONE</v>
      </c>
      <c r="G59">
        <v>0</v>
      </c>
      <c r="H59" t="s">
        <v>23</v>
      </c>
      <c r="I59">
        <v>5</v>
      </c>
      <c r="J59">
        <v>0</v>
      </c>
      <c r="K59">
        <v>0.45</v>
      </c>
      <c r="L59">
        <v>0</v>
      </c>
      <c r="M59" t="s">
        <v>23</v>
      </c>
      <c r="N59" t="s">
        <v>1274</v>
      </c>
      <c r="O59" t="s">
        <v>24</v>
      </c>
      <c r="P59" t="s">
        <v>710</v>
      </c>
      <c r="Q59" t="s">
        <v>930</v>
      </c>
      <c r="S59" t="s">
        <v>338</v>
      </c>
      <c r="T59" t="b">
        <v>1</v>
      </c>
      <c r="U59" t="s">
        <v>931</v>
      </c>
      <c r="V59">
        <v>9222</v>
      </c>
      <c r="W59" t="s">
        <v>1284</v>
      </c>
      <c r="X59" t="s">
        <v>1276</v>
      </c>
      <c r="Y59">
        <v>2</v>
      </c>
      <c r="Z59">
        <v>2024</v>
      </c>
      <c r="AA59" t="s">
        <v>1502</v>
      </c>
      <c r="AB59" t="s">
        <v>1503</v>
      </c>
      <c r="AD59" t="s">
        <v>1504</v>
      </c>
      <c r="AE59" t="s">
        <v>1505</v>
      </c>
      <c r="AF59" t="s">
        <v>1278</v>
      </c>
      <c r="AG59" t="s">
        <v>1506</v>
      </c>
      <c r="AH59" t="s">
        <v>1278</v>
      </c>
      <c r="AI59" t="s">
        <v>1507</v>
      </c>
      <c r="AK59" t="s">
        <v>1280</v>
      </c>
      <c r="AL59" t="s">
        <v>1280</v>
      </c>
      <c r="AM59" t="s">
        <v>1299</v>
      </c>
      <c r="BA59" t="s">
        <v>1282</v>
      </c>
      <c r="BB59" t="b">
        <v>0</v>
      </c>
      <c r="BF59" t="s">
        <v>1508</v>
      </c>
    </row>
    <row r="60" spans="1:58" x14ac:dyDescent="0.2">
      <c r="A60" t="s">
        <v>932</v>
      </c>
      <c r="C60" t="s">
        <v>22</v>
      </c>
      <c r="D60" s="1">
        <v>45000.063888888886</v>
      </c>
      <c r="E60">
        <v>5</v>
      </c>
      <c r="F60" t="str">
        <f t="shared" si="0"/>
        <v>NONE</v>
      </c>
      <c r="G60">
        <v>0</v>
      </c>
      <c r="H60" t="s">
        <v>23</v>
      </c>
      <c r="I60">
        <v>5</v>
      </c>
      <c r="J60">
        <v>0</v>
      </c>
      <c r="K60">
        <v>0.45</v>
      </c>
      <c r="L60">
        <v>0</v>
      </c>
      <c r="M60" t="s">
        <v>23</v>
      </c>
      <c r="N60" t="s">
        <v>1274</v>
      </c>
      <c r="O60" t="s">
        <v>24</v>
      </c>
      <c r="P60" t="s">
        <v>710</v>
      </c>
      <c r="Q60" t="s">
        <v>933</v>
      </c>
      <c r="S60" t="s">
        <v>934</v>
      </c>
      <c r="T60" t="b">
        <v>1</v>
      </c>
      <c r="U60" t="s">
        <v>935</v>
      </c>
      <c r="V60">
        <v>384</v>
      </c>
      <c r="W60" t="s">
        <v>1284</v>
      </c>
      <c r="X60" t="s">
        <v>1276</v>
      </c>
      <c r="Y60">
        <v>9</v>
      </c>
      <c r="Z60">
        <v>2024</v>
      </c>
      <c r="AA60" t="s">
        <v>1509</v>
      </c>
      <c r="AF60" t="s">
        <v>1278</v>
      </c>
      <c r="AG60">
        <v>54022</v>
      </c>
      <c r="AH60" t="s">
        <v>1278</v>
      </c>
      <c r="AI60" t="s">
        <v>1510</v>
      </c>
      <c r="AJ60" t="s">
        <v>1280</v>
      </c>
      <c r="AK60" t="s">
        <v>1280</v>
      </c>
      <c r="BA60" t="s">
        <v>1282</v>
      </c>
      <c r="BB60" t="b">
        <v>0</v>
      </c>
      <c r="BF60" t="s">
        <v>1511</v>
      </c>
    </row>
    <row r="61" spans="1:58" x14ac:dyDescent="0.2">
      <c r="A61" t="s">
        <v>936</v>
      </c>
      <c r="C61" t="s">
        <v>22</v>
      </c>
      <c r="D61" s="1">
        <v>45000.034722222219</v>
      </c>
      <c r="E61">
        <v>5</v>
      </c>
      <c r="F61" t="str">
        <f t="shared" si="0"/>
        <v>NONE</v>
      </c>
      <c r="G61">
        <v>0</v>
      </c>
      <c r="H61" t="s">
        <v>23</v>
      </c>
      <c r="I61">
        <v>5</v>
      </c>
      <c r="J61">
        <v>0</v>
      </c>
      <c r="K61">
        <v>0.45</v>
      </c>
      <c r="L61">
        <v>0</v>
      </c>
      <c r="M61" t="s">
        <v>23</v>
      </c>
      <c r="N61" t="s">
        <v>1274</v>
      </c>
      <c r="O61" t="s">
        <v>24</v>
      </c>
      <c r="P61" t="s">
        <v>710</v>
      </c>
      <c r="Q61" t="s">
        <v>937</v>
      </c>
      <c r="S61" t="s">
        <v>938</v>
      </c>
      <c r="T61" t="b">
        <v>1</v>
      </c>
      <c r="U61" t="s">
        <v>939</v>
      </c>
      <c r="V61">
        <v>8557</v>
      </c>
      <c r="W61" t="s">
        <v>1275</v>
      </c>
      <c r="X61" t="s">
        <v>1276</v>
      </c>
      <c r="Y61">
        <v>12</v>
      </c>
      <c r="Z61">
        <v>2023</v>
      </c>
      <c r="AA61" t="s">
        <v>1512</v>
      </c>
      <c r="AF61" t="s">
        <v>1278</v>
      </c>
      <c r="AG61">
        <v>1803</v>
      </c>
      <c r="AH61" t="s">
        <v>1278</v>
      </c>
      <c r="AI61" t="s">
        <v>1513</v>
      </c>
      <c r="AJ61" t="s">
        <v>1280</v>
      </c>
      <c r="AK61" t="s">
        <v>1280</v>
      </c>
      <c r="BA61" t="s">
        <v>1282</v>
      </c>
      <c r="BB61" t="b">
        <v>1</v>
      </c>
      <c r="BF61" t="s">
        <v>1514</v>
      </c>
    </row>
    <row r="62" spans="1:58" x14ac:dyDescent="0.2">
      <c r="A62" t="s">
        <v>940</v>
      </c>
      <c r="C62" t="s">
        <v>22</v>
      </c>
      <c r="D62" s="1">
        <v>45000.029861111114</v>
      </c>
      <c r="E62">
        <v>5</v>
      </c>
      <c r="F62" t="str">
        <f t="shared" si="0"/>
        <v>NONE</v>
      </c>
      <c r="G62">
        <v>0</v>
      </c>
      <c r="H62" t="s">
        <v>23</v>
      </c>
      <c r="I62">
        <v>5</v>
      </c>
      <c r="J62">
        <v>0</v>
      </c>
      <c r="K62">
        <v>0.45</v>
      </c>
      <c r="L62">
        <v>0</v>
      </c>
      <c r="M62" t="s">
        <v>23</v>
      </c>
      <c r="N62" t="s">
        <v>1274</v>
      </c>
      <c r="O62" t="s">
        <v>24</v>
      </c>
      <c r="P62" t="s">
        <v>710</v>
      </c>
      <c r="Q62" t="s">
        <v>941</v>
      </c>
      <c r="S62" t="s">
        <v>86</v>
      </c>
      <c r="T62" t="b">
        <v>1</v>
      </c>
      <c r="U62" t="s">
        <v>942</v>
      </c>
      <c r="V62">
        <v>384</v>
      </c>
      <c r="W62" t="s">
        <v>1284</v>
      </c>
      <c r="X62" t="s">
        <v>1276</v>
      </c>
      <c r="Y62">
        <v>9</v>
      </c>
      <c r="Z62">
        <v>2024</v>
      </c>
      <c r="AA62" t="s">
        <v>1509</v>
      </c>
      <c r="AF62" t="s">
        <v>1278</v>
      </c>
      <c r="AG62">
        <v>54022</v>
      </c>
      <c r="AH62" t="s">
        <v>1278</v>
      </c>
      <c r="AI62" t="s">
        <v>1510</v>
      </c>
      <c r="AJ62" t="s">
        <v>1280</v>
      </c>
      <c r="AK62" t="s">
        <v>1280</v>
      </c>
      <c r="BA62" t="s">
        <v>1282</v>
      </c>
      <c r="BB62" t="b">
        <v>0</v>
      </c>
      <c r="BF62" t="s">
        <v>1515</v>
      </c>
    </row>
    <row r="63" spans="1:58" x14ac:dyDescent="0.2">
      <c r="A63" t="s">
        <v>943</v>
      </c>
      <c r="C63" t="s">
        <v>22</v>
      </c>
      <c r="D63" s="1">
        <v>45000.02847222222</v>
      </c>
      <c r="E63">
        <v>5</v>
      </c>
      <c r="F63" t="str">
        <f t="shared" si="0"/>
        <v>NONE</v>
      </c>
      <c r="G63">
        <v>0</v>
      </c>
      <c r="H63" t="s">
        <v>23</v>
      </c>
      <c r="I63">
        <v>5</v>
      </c>
      <c r="J63">
        <v>0</v>
      </c>
      <c r="K63">
        <v>0.45</v>
      </c>
      <c r="L63">
        <v>0</v>
      </c>
      <c r="M63" t="s">
        <v>23</v>
      </c>
      <c r="N63" t="s">
        <v>1274</v>
      </c>
      <c r="O63" t="s">
        <v>24</v>
      </c>
      <c r="P63" t="s">
        <v>710</v>
      </c>
      <c r="Q63" t="s">
        <v>944</v>
      </c>
      <c r="S63" t="s">
        <v>945</v>
      </c>
      <c r="T63" t="b">
        <v>1</v>
      </c>
      <c r="U63" t="s">
        <v>946</v>
      </c>
      <c r="V63">
        <v>5104</v>
      </c>
      <c r="W63" t="s">
        <v>1275</v>
      </c>
      <c r="X63" t="s">
        <v>1276</v>
      </c>
      <c r="Y63">
        <v>2</v>
      </c>
      <c r="Z63">
        <v>2025</v>
      </c>
      <c r="AA63" t="s">
        <v>1516</v>
      </c>
      <c r="AF63" t="s">
        <v>1278</v>
      </c>
      <c r="AG63">
        <v>46555</v>
      </c>
      <c r="AH63" t="s">
        <v>1278</v>
      </c>
      <c r="AI63" t="s">
        <v>1517</v>
      </c>
      <c r="AJ63" t="s">
        <v>1280</v>
      </c>
      <c r="AK63" t="s">
        <v>1280</v>
      </c>
      <c r="BA63" t="s">
        <v>1282</v>
      </c>
      <c r="BB63" t="b">
        <v>1</v>
      </c>
      <c r="BF63" t="s">
        <v>1518</v>
      </c>
    </row>
    <row r="64" spans="1:58" x14ac:dyDescent="0.2">
      <c r="A64" t="s">
        <v>947</v>
      </c>
      <c r="C64" t="s">
        <v>22</v>
      </c>
      <c r="D64" s="1">
        <v>45000.027083333334</v>
      </c>
      <c r="E64">
        <v>5</v>
      </c>
      <c r="F64" t="str">
        <f t="shared" si="0"/>
        <v>NONE</v>
      </c>
      <c r="G64">
        <v>0</v>
      </c>
      <c r="H64" t="s">
        <v>23</v>
      </c>
      <c r="I64">
        <v>5</v>
      </c>
      <c r="J64">
        <v>0</v>
      </c>
      <c r="K64">
        <v>0.45</v>
      </c>
      <c r="L64">
        <v>0</v>
      </c>
      <c r="M64" t="s">
        <v>23</v>
      </c>
      <c r="N64" t="s">
        <v>1274</v>
      </c>
      <c r="O64" t="s">
        <v>24</v>
      </c>
      <c r="P64" t="s">
        <v>710</v>
      </c>
      <c r="Q64" t="s">
        <v>948</v>
      </c>
      <c r="S64" t="s">
        <v>949</v>
      </c>
      <c r="T64" t="b">
        <v>1</v>
      </c>
      <c r="U64" t="s">
        <v>950</v>
      </c>
      <c r="V64">
        <v>8364</v>
      </c>
      <c r="W64" t="s">
        <v>1275</v>
      </c>
      <c r="X64" t="s">
        <v>1307</v>
      </c>
      <c r="Y64">
        <v>12</v>
      </c>
      <c r="Z64">
        <v>2023</v>
      </c>
      <c r="AA64" t="s">
        <v>1519</v>
      </c>
      <c r="AB64" t="s">
        <v>1520</v>
      </c>
      <c r="AD64" t="s">
        <v>1521</v>
      </c>
      <c r="AE64" t="s">
        <v>1362</v>
      </c>
      <c r="AF64" t="s">
        <v>1278</v>
      </c>
      <c r="AG64">
        <v>90660</v>
      </c>
      <c r="AH64" t="s">
        <v>1278</v>
      </c>
      <c r="AI64" t="s">
        <v>1522</v>
      </c>
      <c r="AK64" t="s">
        <v>1280</v>
      </c>
      <c r="AL64" t="s">
        <v>1280</v>
      </c>
      <c r="AM64" t="s">
        <v>1299</v>
      </c>
      <c r="BA64" t="s">
        <v>1282</v>
      </c>
      <c r="BB64" t="b">
        <v>0</v>
      </c>
      <c r="BF64" t="s">
        <v>1523</v>
      </c>
    </row>
    <row r="65" spans="1:58" x14ac:dyDescent="0.2">
      <c r="A65" t="s">
        <v>951</v>
      </c>
      <c r="C65" t="s">
        <v>22</v>
      </c>
      <c r="D65" s="1">
        <v>45000.022916666669</v>
      </c>
      <c r="E65">
        <v>4</v>
      </c>
      <c r="F65" t="str">
        <f t="shared" si="0"/>
        <v>ROTOWIRE</v>
      </c>
      <c r="G65">
        <v>0</v>
      </c>
      <c r="H65" t="s">
        <v>23</v>
      </c>
      <c r="I65">
        <v>4</v>
      </c>
      <c r="J65">
        <v>0</v>
      </c>
      <c r="K65">
        <v>0.42</v>
      </c>
      <c r="L65">
        <v>0</v>
      </c>
      <c r="M65" t="s">
        <v>23</v>
      </c>
      <c r="N65" t="s">
        <v>1274</v>
      </c>
      <c r="O65" t="s">
        <v>24</v>
      </c>
      <c r="P65" t="s">
        <v>710</v>
      </c>
      <c r="Q65" t="s">
        <v>952</v>
      </c>
      <c r="S65" t="s">
        <v>953</v>
      </c>
      <c r="T65" t="b">
        <v>1</v>
      </c>
      <c r="U65" t="s">
        <v>954</v>
      </c>
      <c r="V65">
        <v>487</v>
      </c>
      <c r="W65" t="s">
        <v>1275</v>
      </c>
      <c r="X65" t="s">
        <v>1307</v>
      </c>
      <c r="Y65">
        <v>4</v>
      </c>
      <c r="Z65">
        <v>2025</v>
      </c>
      <c r="AA65" t="s">
        <v>1524</v>
      </c>
      <c r="AF65" t="s">
        <v>1278</v>
      </c>
      <c r="AG65">
        <v>15090</v>
      </c>
      <c r="AH65" t="s">
        <v>1278</v>
      </c>
      <c r="AI65" t="s">
        <v>1525</v>
      </c>
      <c r="AK65" t="s">
        <v>1280</v>
      </c>
      <c r="BA65" t="s">
        <v>1282</v>
      </c>
      <c r="BB65" t="b">
        <v>1</v>
      </c>
      <c r="BF65" t="s">
        <v>1526</v>
      </c>
    </row>
    <row r="66" spans="1:58" x14ac:dyDescent="0.2">
      <c r="A66" t="s">
        <v>955</v>
      </c>
      <c r="C66" t="s">
        <v>22</v>
      </c>
      <c r="D66" s="1">
        <v>45000.00277777778</v>
      </c>
      <c r="E66">
        <v>5</v>
      </c>
      <c r="F66" t="str">
        <f t="shared" si="0"/>
        <v>NONE</v>
      </c>
      <c r="G66">
        <v>0</v>
      </c>
      <c r="H66" t="s">
        <v>23</v>
      </c>
      <c r="I66">
        <v>5</v>
      </c>
      <c r="J66">
        <v>0</v>
      </c>
      <c r="K66">
        <v>0.45</v>
      </c>
      <c r="L66">
        <v>0</v>
      </c>
      <c r="M66" t="s">
        <v>23</v>
      </c>
      <c r="N66" t="s">
        <v>1274</v>
      </c>
      <c r="O66" t="s">
        <v>24</v>
      </c>
      <c r="P66" t="s">
        <v>710</v>
      </c>
      <c r="Q66" t="s">
        <v>956</v>
      </c>
      <c r="S66" t="s">
        <v>318</v>
      </c>
      <c r="T66" t="b">
        <v>1</v>
      </c>
      <c r="U66" t="s">
        <v>957</v>
      </c>
      <c r="V66">
        <v>6856</v>
      </c>
      <c r="W66" t="s">
        <v>1275</v>
      </c>
      <c r="X66" t="s">
        <v>1276</v>
      </c>
      <c r="Y66">
        <v>2</v>
      </c>
      <c r="Z66">
        <v>2028</v>
      </c>
      <c r="AA66" t="s">
        <v>1527</v>
      </c>
      <c r="AF66" t="s">
        <v>1278</v>
      </c>
      <c r="AG66">
        <v>44408</v>
      </c>
      <c r="AH66" t="s">
        <v>1278</v>
      </c>
      <c r="AI66" t="s">
        <v>1528</v>
      </c>
      <c r="AJ66" t="s">
        <v>1280</v>
      </c>
      <c r="AK66" t="s">
        <v>1280</v>
      </c>
      <c r="BA66" t="s">
        <v>1282</v>
      </c>
      <c r="BB66" t="b">
        <v>1</v>
      </c>
      <c r="BF66" t="s">
        <v>1529</v>
      </c>
    </row>
    <row r="67" spans="1:58" x14ac:dyDescent="0.2">
      <c r="A67" t="s">
        <v>958</v>
      </c>
      <c r="C67" t="s">
        <v>22</v>
      </c>
      <c r="D67" s="1">
        <v>44999.995138888888</v>
      </c>
      <c r="E67">
        <v>4</v>
      </c>
      <c r="F67" t="str">
        <f t="shared" ref="F67:F128" si="1">IF(E67=3.75,"EMAIL",IF(E67=4,"ROTOWIRE","NONE"))</f>
        <v>ROTOWIRE</v>
      </c>
      <c r="G67">
        <v>0</v>
      </c>
      <c r="H67" t="s">
        <v>23</v>
      </c>
      <c r="I67">
        <v>4</v>
      </c>
      <c r="J67">
        <v>0</v>
      </c>
      <c r="K67">
        <v>0.42</v>
      </c>
      <c r="L67">
        <v>0</v>
      </c>
      <c r="M67" t="s">
        <v>23</v>
      </c>
      <c r="N67" t="s">
        <v>1274</v>
      </c>
      <c r="O67" t="s">
        <v>24</v>
      </c>
      <c r="P67" t="s">
        <v>710</v>
      </c>
      <c r="Q67" t="s">
        <v>959</v>
      </c>
      <c r="S67" t="s">
        <v>960</v>
      </c>
      <c r="T67" t="b">
        <v>1</v>
      </c>
      <c r="U67" t="s">
        <v>961</v>
      </c>
      <c r="V67">
        <v>7719</v>
      </c>
      <c r="W67" t="s">
        <v>1284</v>
      </c>
      <c r="X67" t="s">
        <v>1276</v>
      </c>
      <c r="Y67">
        <v>10</v>
      </c>
      <c r="Z67">
        <v>2023</v>
      </c>
      <c r="AA67" t="s">
        <v>1530</v>
      </c>
      <c r="AB67" t="s">
        <v>1531</v>
      </c>
      <c r="AD67" t="s">
        <v>1532</v>
      </c>
      <c r="AE67" t="s">
        <v>1356</v>
      </c>
      <c r="AF67" t="s">
        <v>1278</v>
      </c>
      <c r="AG67">
        <v>44116</v>
      </c>
      <c r="AH67" t="s">
        <v>1278</v>
      </c>
      <c r="AI67" t="s">
        <v>1533</v>
      </c>
      <c r="AK67" t="s">
        <v>1280</v>
      </c>
      <c r="AL67" t="s">
        <v>1280</v>
      </c>
      <c r="AM67" t="s">
        <v>1299</v>
      </c>
      <c r="BA67" t="s">
        <v>1282</v>
      </c>
      <c r="BB67" t="b">
        <v>0</v>
      </c>
      <c r="BF67" t="s">
        <v>1534</v>
      </c>
    </row>
    <row r="68" spans="1:58" x14ac:dyDescent="0.2">
      <c r="A68" t="s">
        <v>962</v>
      </c>
      <c r="C68" t="s">
        <v>22</v>
      </c>
      <c r="D68" s="1">
        <v>44999.980555555558</v>
      </c>
      <c r="E68">
        <v>5</v>
      </c>
      <c r="F68" t="str">
        <f t="shared" si="1"/>
        <v>NONE</v>
      </c>
      <c r="G68">
        <v>0</v>
      </c>
      <c r="H68" t="s">
        <v>23</v>
      </c>
      <c r="I68">
        <v>5</v>
      </c>
      <c r="J68">
        <v>0</v>
      </c>
      <c r="K68">
        <v>0.45</v>
      </c>
      <c r="L68">
        <v>0</v>
      </c>
      <c r="M68" t="s">
        <v>23</v>
      </c>
      <c r="N68" t="s">
        <v>1274</v>
      </c>
      <c r="O68" t="s">
        <v>24</v>
      </c>
      <c r="P68" t="s">
        <v>710</v>
      </c>
      <c r="Q68" t="s">
        <v>963</v>
      </c>
      <c r="S68" t="s">
        <v>964</v>
      </c>
      <c r="T68" t="b">
        <v>1</v>
      </c>
      <c r="U68" t="s">
        <v>965</v>
      </c>
      <c r="V68">
        <v>5106</v>
      </c>
      <c r="W68" t="s">
        <v>1275</v>
      </c>
      <c r="X68" t="s">
        <v>1276</v>
      </c>
      <c r="Y68">
        <v>1</v>
      </c>
      <c r="Z68">
        <v>2026</v>
      </c>
      <c r="AA68" t="s">
        <v>1535</v>
      </c>
      <c r="AF68" t="s">
        <v>1278</v>
      </c>
      <c r="AG68">
        <v>85281</v>
      </c>
      <c r="AH68" t="s">
        <v>1278</v>
      </c>
      <c r="AI68" t="s">
        <v>1536</v>
      </c>
      <c r="AJ68" t="s">
        <v>1280</v>
      </c>
      <c r="AK68" t="s">
        <v>1280</v>
      </c>
      <c r="BA68" t="s">
        <v>1282</v>
      </c>
      <c r="BB68" t="b">
        <v>1</v>
      </c>
      <c r="BF68" t="s">
        <v>1537</v>
      </c>
    </row>
    <row r="69" spans="1:58" x14ac:dyDescent="0.2">
      <c r="A69" t="s">
        <v>966</v>
      </c>
      <c r="C69" t="s">
        <v>22</v>
      </c>
      <c r="D69" s="1">
        <v>44999.958333333336</v>
      </c>
      <c r="E69">
        <v>3.75</v>
      </c>
      <c r="F69" t="str">
        <f t="shared" si="1"/>
        <v>EMAIL</v>
      </c>
      <c r="G69">
        <v>0</v>
      </c>
      <c r="H69" t="s">
        <v>23</v>
      </c>
      <c r="I69">
        <v>3.75</v>
      </c>
      <c r="J69">
        <v>0</v>
      </c>
      <c r="K69">
        <v>0.41</v>
      </c>
      <c r="L69">
        <v>0</v>
      </c>
      <c r="M69" t="s">
        <v>23</v>
      </c>
      <c r="N69" t="s">
        <v>1274</v>
      </c>
      <c r="O69" t="s">
        <v>24</v>
      </c>
      <c r="P69" t="s">
        <v>710</v>
      </c>
      <c r="Q69" t="s">
        <v>967</v>
      </c>
      <c r="S69" t="s">
        <v>968</v>
      </c>
      <c r="T69" t="b">
        <v>1</v>
      </c>
      <c r="U69" t="s">
        <v>969</v>
      </c>
      <c r="V69">
        <v>4026</v>
      </c>
      <c r="W69" t="s">
        <v>1275</v>
      </c>
      <c r="X69" t="s">
        <v>1276</v>
      </c>
      <c r="Y69">
        <v>12</v>
      </c>
      <c r="Z69">
        <v>2026</v>
      </c>
      <c r="AA69" t="s">
        <v>1538</v>
      </c>
      <c r="AF69" t="s">
        <v>1278</v>
      </c>
      <c r="AG69">
        <v>28443</v>
      </c>
      <c r="AH69" t="s">
        <v>1278</v>
      </c>
      <c r="AI69" t="s">
        <v>1539</v>
      </c>
      <c r="AJ69" t="s">
        <v>1280</v>
      </c>
      <c r="AK69" t="s">
        <v>1280</v>
      </c>
      <c r="BA69" t="s">
        <v>1282</v>
      </c>
      <c r="BB69" t="b">
        <v>0</v>
      </c>
      <c r="BF69" t="s">
        <v>1540</v>
      </c>
    </row>
    <row r="70" spans="1:58" x14ac:dyDescent="0.2">
      <c r="A70" t="s">
        <v>970</v>
      </c>
      <c r="C70" t="s">
        <v>22</v>
      </c>
      <c r="D70" s="1">
        <v>44999.913888888892</v>
      </c>
      <c r="E70">
        <v>4</v>
      </c>
      <c r="F70" t="str">
        <f t="shared" si="1"/>
        <v>ROTOWIRE</v>
      </c>
      <c r="G70">
        <v>0</v>
      </c>
      <c r="H70" t="s">
        <v>23</v>
      </c>
      <c r="I70">
        <v>4</v>
      </c>
      <c r="J70">
        <v>0</v>
      </c>
      <c r="K70">
        <v>0.42</v>
      </c>
      <c r="L70">
        <v>0</v>
      </c>
      <c r="M70" t="s">
        <v>23</v>
      </c>
      <c r="N70" t="s">
        <v>1274</v>
      </c>
      <c r="O70" t="s">
        <v>24</v>
      </c>
      <c r="P70" t="s">
        <v>710</v>
      </c>
      <c r="Q70" t="s">
        <v>971</v>
      </c>
      <c r="S70" t="s">
        <v>972</v>
      </c>
      <c r="T70" t="b">
        <v>1</v>
      </c>
      <c r="U70" t="s">
        <v>973</v>
      </c>
      <c r="V70">
        <v>3519</v>
      </c>
      <c r="W70" t="s">
        <v>1275</v>
      </c>
      <c r="X70" t="s">
        <v>1307</v>
      </c>
      <c r="Y70">
        <v>12</v>
      </c>
      <c r="Z70">
        <v>2023</v>
      </c>
      <c r="AA70" t="s">
        <v>1541</v>
      </c>
      <c r="AB70" t="s">
        <v>1542</v>
      </c>
      <c r="AD70" t="s">
        <v>1543</v>
      </c>
      <c r="AE70" t="s">
        <v>1401</v>
      </c>
      <c r="AF70" t="s">
        <v>1278</v>
      </c>
      <c r="AG70">
        <v>49546</v>
      </c>
      <c r="AH70" t="s">
        <v>1278</v>
      </c>
      <c r="AI70" t="s">
        <v>1544</v>
      </c>
      <c r="AK70" t="s">
        <v>1280</v>
      </c>
      <c r="AL70" t="s">
        <v>1280</v>
      </c>
      <c r="AM70" t="s">
        <v>1299</v>
      </c>
      <c r="BA70" t="s">
        <v>1282</v>
      </c>
      <c r="BB70" t="b">
        <v>0</v>
      </c>
      <c r="BF70" t="s">
        <v>1545</v>
      </c>
    </row>
    <row r="71" spans="1:58" x14ac:dyDescent="0.2">
      <c r="A71" t="s">
        <v>974</v>
      </c>
      <c r="C71" t="s">
        <v>22</v>
      </c>
      <c r="D71" s="1">
        <v>44999.877083333333</v>
      </c>
      <c r="E71">
        <v>5</v>
      </c>
      <c r="F71" t="str">
        <f t="shared" si="1"/>
        <v>NONE</v>
      </c>
      <c r="G71">
        <v>0</v>
      </c>
      <c r="H71" t="s">
        <v>23</v>
      </c>
      <c r="I71">
        <v>5</v>
      </c>
      <c r="J71">
        <v>0</v>
      </c>
      <c r="K71">
        <v>0.45</v>
      </c>
      <c r="L71">
        <v>0</v>
      </c>
      <c r="M71" t="s">
        <v>23</v>
      </c>
      <c r="N71" t="s">
        <v>1274</v>
      </c>
      <c r="O71" t="s">
        <v>24</v>
      </c>
      <c r="P71" t="s">
        <v>710</v>
      </c>
      <c r="Q71" t="s">
        <v>975</v>
      </c>
      <c r="S71" t="s">
        <v>976</v>
      </c>
      <c r="T71" t="b">
        <v>1</v>
      </c>
      <c r="U71" t="s">
        <v>977</v>
      </c>
      <c r="V71">
        <v>8776</v>
      </c>
      <c r="W71" t="s">
        <v>1275</v>
      </c>
      <c r="X71" t="s">
        <v>1307</v>
      </c>
      <c r="Y71">
        <v>12</v>
      </c>
      <c r="Z71">
        <v>2023</v>
      </c>
      <c r="AA71" t="s">
        <v>1546</v>
      </c>
      <c r="AF71" t="s">
        <v>1278</v>
      </c>
      <c r="AG71">
        <v>80122</v>
      </c>
      <c r="AH71" t="s">
        <v>1278</v>
      </c>
      <c r="AI71" t="s">
        <v>1547</v>
      </c>
      <c r="AJ71" t="s">
        <v>1280</v>
      </c>
      <c r="AK71" t="s">
        <v>1280</v>
      </c>
      <c r="BA71" t="s">
        <v>1282</v>
      </c>
      <c r="BB71" t="b">
        <v>1</v>
      </c>
      <c r="BF71" t="s">
        <v>1548</v>
      </c>
    </row>
    <row r="72" spans="1:58" x14ac:dyDescent="0.2">
      <c r="A72" t="s">
        <v>978</v>
      </c>
      <c r="C72" t="s">
        <v>22</v>
      </c>
      <c r="D72" s="1">
        <v>44999.874305555553</v>
      </c>
      <c r="E72">
        <v>5</v>
      </c>
      <c r="F72" t="str">
        <f t="shared" si="1"/>
        <v>NONE</v>
      </c>
      <c r="G72">
        <v>0</v>
      </c>
      <c r="H72" t="s">
        <v>23</v>
      </c>
      <c r="I72">
        <v>5</v>
      </c>
      <c r="J72">
        <v>0</v>
      </c>
      <c r="K72">
        <v>0.45</v>
      </c>
      <c r="L72">
        <v>0</v>
      </c>
      <c r="M72" t="s">
        <v>23</v>
      </c>
      <c r="N72" t="s">
        <v>1274</v>
      </c>
      <c r="O72" t="s">
        <v>24</v>
      </c>
      <c r="P72" t="s">
        <v>710</v>
      </c>
      <c r="Q72" t="s">
        <v>979</v>
      </c>
      <c r="S72" t="s">
        <v>980</v>
      </c>
      <c r="T72" t="b">
        <v>1</v>
      </c>
      <c r="U72" t="s">
        <v>981</v>
      </c>
      <c r="V72">
        <v>8993</v>
      </c>
      <c r="W72" t="s">
        <v>1284</v>
      </c>
      <c r="X72" t="s">
        <v>1549</v>
      </c>
      <c r="Y72">
        <v>12</v>
      </c>
      <c r="Z72">
        <v>2025</v>
      </c>
      <c r="AA72" t="s">
        <v>1550</v>
      </c>
      <c r="AB72" t="s">
        <v>1551</v>
      </c>
      <c r="AD72" t="s">
        <v>1552</v>
      </c>
      <c r="AE72" t="s">
        <v>1356</v>
      </c>
      <c r="AF72" t="s">
        <v>1278</v>
      </c>
      <c r="AG72">
        <v>43224</v>
      </c>
      <c r="AH72" t="s">
        <v>1278</v>
      </c>
      <c r="AI72" t="s">
        <v>1553</v>
      </c>
      <c r="AK72" t="s">
        <v>1280</v>
      </c>
      <c r="AL72" t="s">
        <v>1280</v>
      </c>
      <c r="AM72" t="s">
        <v>1299</v>
      </c>
      <c r="BA72" t="s">
        <v>1282</v>
      </c>
      <c r="BB72" t="b">
        <v>0</v>
      </c>
      <c r="BF72" t="s">
        <v>1554</v>
      </c>
    </row>
    <row r="73" spans="1:58" x14ac:dyDescent="0.2">
      <c r="A73" t="s">
        <v>982</v>
      </c>
      <c r="C73" t="s">
        <v>22</v>
      </c>
      <c r="D73" s="1">
        <v>44999.859722222223</v>
      </c>
      <c r="E73">
        <v>5</v>
      </c>
      <c r="F73" t="str">
        <f t="shared" si="1"/>
        <v>NONE</v>
      </c>
      <c r="G73">
        <v>0</v>
      </c>
      <c r="H73" t="s">
        <v>23</v>
      </c>
      <c r="I73">
        <v>5</v>
      </c>
      <c r="J73">
        <v>0</v>
      </c>
      <c r="K73">
        <v>0.45</v>
      </c>
      <c r="L73">
        <v>0</v>
      </c>
      <c r="M73" t="s">
        <v>23</v>
      </c>
      <c r="N73" t="s">
        <v>1274</v>
      </c>
      <c r="O73" t="s">
        <v>24</v>
      </c>
      <c r="P73" t="s">
        <v>710</v>
      </c>
      <c r="Q73" t="s">
        <v>983</v>
      </c>
      <c r="S73" t="s">
        <v>984</v>
      </c>
      <c r="T73" t="b">
        <v>1</v>
      </c>
      <c r="U73" t="s">
        <v>985</v>
      </c>
      <c r="V73">
        <v>9194</v>
      </c>
      <c r="W73" t="s">
        <v>1275</v>
      </c>
      <c r="X73" t="s">
        <v>1276</v>
      </c>
      <c r="Y73">
        <v>12</v>
      </c>
      <c r="Z73">
        <v>2023</v>
      </c>
      <c r="AA73" t="s">
        <v>1555</v>
      </c>
      <c r="AB73" t="s">
        <v>1556</v>
      </c>
      <c r="AD73" t="s">
        <v>1557</v>
      </c>
      <c r="AE73" t="s">
        <v>1356</v>
      </c>
      <c r="AF73" t="s">
        <v>1278</v>
      </c>
      <c r="AG73">
        <v>43019</v>
      </c>
      <c r="AH73" t="s">
        <v>1278</v>
      </c>
      <c r="AI73" t="s">
        <v>1558</v>
      </c>
      <c r="AK73" t="s">
        <v>1280</v>
      </c>
      <c r="AL73" t="s">
        <v>1280</v>
      </c>
      <c r="AM73" t="s">
        <v>1299</v>
      </c>
      <c r="BA73" t="s">
        <v>1282</v>
      </c>
      <c r="BB73" t="b">
        <v>0</v>
      </c>
      <c r="BF73" t="s">
        <v>1559</v>
      </c>
    </row>
    <row r="74" spans="1:58" x14ac:dyDescent="0.2">
      <c r="A74" t="s">
        <v>986</v>
      </c>
      <c r="C74" t="s">
        <v>22</v>
      </c>
      <c r="D74" s="1">
        <v>44999.85833333333</v>
      </c>
      <c r="E74">
        <v>5</v>
      </c>
      <c r="F74" t="str">
        <f t="shared" si="1"/>
        <v>NONE</v>
      </c>
      <c r="G74">
        <v>0</v>
      </c>
      <c r="H74" t="s">
        <v>23</v>
      </c>
      <c r="I74">
        <v>5</v>
      </c>
      <c r="J74">
        <v>0</v>
      </c>
      <c r="K74">
        <v>0.45</v>
      </c>
      <c r="L74">
        <v>0</v>
      </c>
      <c r="M74" t="s">
        <v>23</v>
      </c>
      <c r="N74" t="s">
        <v>1274</v>
      </c>
      <c r="O74" t="s">
        <v>24</v>
      </c>
      <c r="P74" t="s">
        <v>710</v>
      </c>
      <c r="Q74" t="s">
        <v>987</v>
      </c>
      <c r="S74" t="s">
        <v>988</v>
      </c>
      <c r="T74" t="b">
        <v>1</v>
      </c>
      <c r="U74" t="s">
        <v>989</v>
      </c>
      <c r="V74">
        <v>5358</v>
      </c>
      <c r="W74" t="s">
        <v>1284</v>
      </c>
      <c r="X74" t="s">
        <v>1307</v>
      </c>
      <c r="Y74">
        <v>3</v>
      </c>
      <c r="Z74">
        <v>2028</v>
      </c>
      <c r="AA74" t="s">
        <v>1560</v>
      </c>
      <c r="AF74" t="s">
        <v>1278</v>
      </c>
      <c r="AG74">
        <v>44054</v>
      </c>
      <c r="AH74" t="s">
        <v>1278</v>
      </c>
      <c r="AI74" t="s">
        <v>1561</v>
      </c>
      <c r="AJ74" t="s">
        <v>1280</v>
      </c>
      <c r="AK74" t="s">
        <v>1280</v>
      </c>
      <c r="BA74" t="s">
        <v>1282</v>
      </c>
      <c r="BB74" t="b">
        <v>0</v>
      </c>
      <c r="BF74" t="s">
        <v>1562</v>
      </c>
    </row>
    <row r="75" spans="1:58" x14ac:dyDescent="0.2">
      <c r="A75" t="s">
        <v>990</v>
      </c>
      <c r="C75" t="s">
        <v>22</v>
      </c>
      <c r="D75" s="1">
        <v>44999.843055555553</v>
      </c>
      <c r="E75">
        <v>5</v>
      </c>
      <c r="F75" t="str">
        <f t="shared" si="1"/>
        <v>NONE</v>
      </c>
      <c r="G75">
        <v>0</v>
      </c>
      <c r="H75" t="s">
        <v>23</v>
      </c>
      <c r="I75">
        <v>5</v>
      </c>
      <c r="J75">
        <v>0</v>
      </c>
      <c r="K75">
        <v>0.45</v>
      </c>
      <c r="L75">
        <v>0</v>
      </c>
      <c r="M75" t="s">
        <v>23</v>
      </c>
      <c r="N75" t="s">
        <v>1274</v>
      </c>
      <c r="O75" t="s">
        <v>24</v>
      </c>
      <c r="P75" t="s">
        <v>710</v>
      </c>
      <c r="Q75" t="s">
        <v>991</v>
      </c>
      <c r="S75" t="s">
        <v>992</v>
      </c>
      <c r="T75" t="b">
        <v>1</v>
      </c>
      <c r="U75" t="s">
        <v>993</v>
      </c>
      <c r="V75">
        <v>5391</v>
      </c>
      <c r="W75" t="s">
        <v>1284</v>
      </c>
      <c r="X75" t="s">
        <v>1276</v>
      </c>
      <c r="Y75">
        <v>12</v>
      </c>
      <c r="Z75">
        <v>2026</v>
      </c>
      <c r="AA75" t="s">
        <v>1563</v>
      </c>
      <c r="AF75" t="s">
        <v>1278</v>
      </c>
      <c r="AG75">
        <v>22539</v>
      </c>
      <c r="AH75" t="s">
        <v>1278</v>
      </c>
      <c r="AI75" t="s">
        <v>1564</v>
      </c>
      <c r="AJ75" t="s">
        <v>1280</v>
      </c>
      <c r="AK75" t="s">
        <v>1280</v>
      </c>
      <c r="BA75" t="s">
        <v>1282</v>
      </c>
      <c r="BB75" t="b">
        <v>1</v>
      </c>
      <c r="BF75" t="s">
        <v>1565</v>
      </c>
    </row>
    <row r="76" spans="1:58" x14ac:dyDescent="0.2">
      <c r="A76" t="s">
        <v>994</v>
      </c>
      <c r="C76" t="s">
        <v>22</v>
      </c>
      <c r="D76" s="1">
        <v>44999.84097222222</v>
      </c>
      <c r="E76">
        <v>5</v>
      </c>
      <c r="F76" t="str">
        <f t="shared" si="1"/>
        <v>NONE</v>
      </c>
      <c r="G76">
        <v>0</v>
      </c>
      <c r="H76" t="s">
        <v>23</v>
      </c>
      <c r="I76">
        <v>5</v>
      </c>
      <c r="J76">
        <v>0</v>
      </c>
      <c r="K76">
        <v>0.45</v>
      </c>
      <c r="L76">
        <v>0</v>
      </c>
      <c r="M76" t="s">
        <v>23</v>
      </c>
      <c r="N76" t="s">
        <v>1274</v>
      </c>
      <c r="O76" t="s">
        <v>24</v>
      </c>
      <c r="P76" t="s">
        <v>710</v>
      </c>
      <c r="Q76" t="s">
        <v>995</v>
      </c>
      <c r="S76" t="s">
        <v>996</v>
      </c>
      <c r="T76" t="b">
        <v>1</v>
      </c>
      <c r="U76" t="s">
        <v>997</v>
      </c>
      <c r="V76">
        <v>8643</v>
      </c>
      <c r="W76" t="s">
        <v>1284</v>
      </c>
      <c r="X76" t="s">
        <v>1307</v>
      </c>
      <c r="Y76">
        <v>6</v>
      </c>
      <c r="Z76">
        <v>2024</v>
      </c>
      <c r="AA76" t="s">
        <v>1566</v>
      </c>
      <c r="AF76" t="s">
        <v>1278</v>
      </c>
      <c r="AG76">
        <v>41071</v>
      </c>
      <c r="AH76" t="s">
        <v>1278</v>
      </c>
      <c r="AI76" t="s">
        <v>1567</v>
      </c>
      <c r="AJ76" t="s">
        <v>1280</v>
      </c>
      <c r="AK76" t="s">
        <v>1280</v>
      </c>
      <c r="BA76" t="s">
        <v>1282</v>
      </c>
      <c r="BB76" t="b">
        <v>0</v>
      </c>
      <c r="BF76" t="s">
        <v>1568</v>
      </c>
    </row>
    <row r="77" spans="1:58" x14ac:dyDescent="0.2">
      <c r="A77" t="s">
        <v>998</v>
      </c>
      <c r="C77" t="s">
        <v>22</v>
      </c>
      <c r="D77" s="1">
        <v>44999.820833333331</v>
      </c>
      <c r="E77">
        <v>5</v>
      </c>
      <c r="F77" t="str">
        <f t="shared" si="1"/>
        <v>NONE</v>
      </c>
      <c r="G77">
        <v>0</v>
      </c>
      <c r="H77" t="s">
        <v>23</v>
      </c>
      <c r="I77">
        <v>5</v>
      </c>
      <c r="J77">
        <v>0</v>
      </c>
      <c r="K77">
        <v>0.45</v>
      </c>
      <c r="L77">
        <v>0</v>
      </c>
      <c r="M77" t="s">
        <v>23</v>
      </c>
      <c r="N77" t="s">
        <v>1274</v>
      </c>
      <c r="O77" t="s">
        <v>24</v>
      </c>
      <c r="P77" t="s">
        <v>710</v>
      </c>
      <c r="Q77" t="s">
        <v>999</v>
      </c>
      <c r="S77" t="s">
        <v>1000</v>
      </c>
      <c r="T77" t="b">
        <v>1</v>
      </c>
      <c r="U77" t="s">
        <v>1001</v>
      </c>
      <c r="V77">
        <v>7390</v>
      </c>
      <c r="W77" t="s">
        <v>1275</v>
      </c>
      <c r="X77" t="s">
        <v>1276</v>
      </c>
      <c r="Y77">
        <v>11</v>
      </c>
      <c r="Z77">
        <v>2026</v>
      </c>
      <c r="AA77" t="s">
        <v>1569</v>
      </c>
      <c r="AD77" t="s">
        <v>1570</v>
      </c>
      <c r="AE77" t="s">
        <v>1571</v>
      </c>
      <c r="AF77" t="s">
        <v>1278</v>
      </c>
      <c r="AG77">
        <v>60137</v>
      </c>
      <c r="AH77" t="s">
        <v>1278</v>
      </c>
      <c r="AI77" t="s">
        <v>1572</v>
      </c>
      <c r="AK77" t="s">
        <v>1280</v>
      </c>
      <c r="AM77" t="s">
        <v>1351</v>
      </c>
      <c r="BA77" t="s">
        <v>1282</v>
      </c>
      <c r="BB77" t="b">
        <v>0</v>
      </c>
      <c r="BF77" t="s">
        <v>1573</v>
      </c>
    </row>
    <row r="78" spans="1:58" x14ac:dyDescent="0.2">
      <c r="A78" t="s">
        <v>1002</v>
      </c>
      <c r="C78" t="s">
        <v>22</v>
      </c>
      <c r="D78" s="1">
        <v>44999.817361111112</v>
      </c>
      <c r="E78">
        <v>5</v>
      </c>
      <c r="F78" t="str">
        <f t="shared" si="1"/>
        <v>NONE</v>
      </c>
      <c r="G78">
        <v>0</v>
      </c>
      <c r="H78" t="s">
        <v>23</v>
      </c>
      <c r="I78">
        <v>5</v>
      </c>
      <c r="J78">
        <v>0</v>
      </c>
      <c r="K78">
        <v>0.45</v>
      </c>
      <c r="L78">
        <v>0</v>
      </c>
      <c r="M78" t="s">
        <v>23</v>
      </c>
      <c r="N78" t="s">
        <v>1274</v>
      </c>
      <c r="O78" t="s">
        <v>24</v>
      </c>
      <c r="P78" t="s">
        <v>710</v>
      </c>
      <c r="Q78" t="s">
        <v>1003</v>
      </c>
      <c r="S78" t="s">
        <v>1004</v>
      </c>
      <c r="T78" t="b">
        <v>1</v>
      </c>
      <c r="U78" t="s">
        <v>1005</v>
      </c>
      <c r="V78">
        <v>6836</v>
      </c>
      <c r="W78" t="s">
        <v>1284</v>
      </c>
      <c r="X78" t="s">
        <v>1276</v>
      </c>
      <c r="Y78">
        <v>10</v>
      </c>
      <c r="Z78">
        <v>2024</v>
      </c>
      <c r="AA78" t="s">
        <v>1574</v>
      </c>
      <c r="AB78" t="s">
        <v>1575</v>
      </c>
      <c r="AD78" t="s">
        <v>1576</v>
      </c>
      <c r="AE78" t="s">
        <v>1577</v>
      </c>
      <c r="AF78" t="s">
        <v>1278</v>
      </c>
      <c r="AG78">
        <v>6795</v>
      </c>
      <c r="AH78" t="s">
        <v>1278</v>
      </c>
      <c r="AI78" t="s">
        <v>1578</v>
      </c>
      <c r="AK78" t="s">
        <v>1280</v>
      </c>
      <c r="AL78" t="s">
        <v>1280</v>
      </c>
      <c r="AM78" t="s">
        <v>1299</v>
      </c>
      <c r="BA78" t="s">
        <v>1282</v>
      </c>
      <c r="BB78" t="b">
        <v>0</v>
      </c>
      <c r="BF78" t="s">
        <v>1579</v>
      </c>
    </row>
    <row r="79" spans="1:58" x14ac:dyDescent="0.2">
      <c r="A79" t="s">
        <v>1006</v>
      </c>
      <c r="C79" t="s">
        <v>22</v>
      </c>
      <c r="D79" s="1">
        <v>44999.809027777781</v>
      </c>
      <c r="E79">
        <v>5</v>
      </c>
      <c r="F79" t="str">
        <f t="shared" si="1"/>
        <v>NONE</v>
      </c>
      <c r="G79">
        <v>0</v>
      </c>
      <c r="H79" t="s">
        <v>23</v>
      </c>
      <c r="I79">
        <v>5</v>
      </c>
      <c r="J79">
        <v>0</v>
      </c>
      <c r="K79">
        <v>0.45</v>
      </c>
      <c r="L79">
        <v>0</v>
      </c>
      <c r="M79" t="s">
        <v>23</v>
      </c>
      <c r="N79" t="s">
        <v>1274</v>
      </c>
      <c r="O79" t="s">
        <v>24</v>
      </c>
      <c r="P79" t="s">
        <v>710</v>
      </c>
      <c r="Q79" t="s">
        <v>1007</v>
      </c>
      <c r="S79" t="s">
        <v>1008</v>
      </c>
      <c r="T79" t="b">
        <v>1</v>
      </c>
      <c r="U79" t="s">
        <v>1009</v>
      </c>
      <c r="V79">
        <v>5251</v>
      </c>
      <c r="W79" t="s">
        <v>1275</v>
      </c>
      <c r="X79" t="s">
        <v>1276</v>
      </c>
      <c r="Y79">
        <v>9</v>
      </c>
      <c r="Z79">
        <v>2027</v>
      </c>
      <c r="AA79" t="s">
        <v>1580</v>
      </c>
      <c r="AF79" t="s">
        <v>1278</v>
      </c>
      <c r="AG79">
        <v>97239</v>
      </c>
      <c r="AH79" t="s">
        <v>1278</v>
      </c>
      <c r="AI79" t="s">
        <v>1581</v>
      </c>
      <c r="AJ79" t="s">
        <v>1280</v>
      </c>
      <c r="AK79" t="s">
        <v>1280</v>
      </c>
      <c r="BA79" t="s">
        <v>1282</v>
      </c>
      <c r="BB79" t="b">
        <v>1</v>
      </c>
      <c r="BF79" t="s">
        <v>1582</v>
      </c>
    </row>
    <row r="80" spans="1:58" x14ac:dyDescent="0.2">
      <c r="A80" t="s">
        <v>1010</v>
      </c>
      <c r="C80" t="s">
        <v>22</v>
      </c>
      <c r="D80" s="1">
        <v>44999.804861111108</v>
      </c>
      <c r="E80">
        <v>5</v>
      </c>
      <c r="F80" t="str">
        <f t="shared" si="1"/>
        <v>NONE</v>
      </c>
      <c r="G80">
        <v>0</v>
      </c>
      <c r="H80" t="s">
        <v>23</v>
      </c>
      <c r="I80">
        <v>5</v>
      </c>
      <c r="J80">
        <v>0</v>
      </c>
      <c r="K80">
        <v>0.45</v>
      </c>
      <c r="L80">
        <v>0</v>
      </c>
      <c r="M80" t="s">
        <v>23</v>
      </c>
      <c r="N80" t="s">
        <v>1274</v>
      </c>
      <c r="O80" t="s">
        <v>24</v>
      </c>
      <c r="P80" t="s">
        <v>710</v>
      </c>
      <c r="Q80" t="s">
        <v>1011</v>
      </c>
      <c r="S80" t="s">
        <v>1012</v>
      </c>
      <c r="T80" t="b">
        <v>1</v>
      </c>
      <c r="U80" t="s">
        <v>1013</v>
      </c>
      <c r="V80">
        <v>4184</v>
      </c>
      <c r="W80" t="s">
        <v>1275</v>
      </c>
      <c r="X80" t="s">
        <v>1307</v>
      </c>
      <c r="Y80">
        <v>10</v>
      </c>
      <c r="Z80">
        <v>2024</v>
      </c>
      <c r="AA80" t="s">
        <v>1583</v>
      </c>
      <c r="AF80" t="s">
        <v>1278</v>
      </c>
      <c r="AH80" t="s">
        <v>1278</v>
      </c>
      <c r="AI80" t="s">
        <v>1584</v>
      </c>
      <c r="AM80" t="s">
        <v>1351</v>
      </c>
      <c r="BA80" t="s">
        <v>1282</v>
      </c>
      <c r="BB80" t="b">
        <v>0</v>
      </c>
      <c r="BF80" t="s">
        <v>1585</v>
      </c>
    </row>
    <row r="81" spans="1:58" x14ac:dyDescent="0.2">
      <c r="A81" t="s">
        <v>1014</v>
      </c>
      <c r="C81" t="s">
        <v>22</v>
      </c>
      <c r="D81" s="1">
        <v>44999.8</v>
      </c>
      <c r="E81">
        <v>4</v>
      </c>
      <c r="F81" t="str">
        <f t="shared" si="1"/>
        <v>ROTOWIRE</v>
      </c>
      <c r="G81">
        <v>0</v>
      </c>
      <c r="H81" t="s">
        <v>23</v>
      </c>
      <c r="I81">
        <v>4</v>
      </c>
      <c r="J81">
        <v>0</v>
      </c>
      <c r="K81">
        <v>0.42</v>
      </c>
      <c r="L81">
        <v>0</v>
      </c>
      <c r="M81" t="s">
        <v>23</v>
      </c>
      <c r="N81" t="s">
        <v>1274</v>
      </c>
      <c r="O81" t="s">
        <v>24</v>
      </c>
      <c r="P81" t="s">
        <v>710</v>
      </c>
      <c r="Q81" t="s">
        <v>1015</v>
      </c>
      <c r="S81" t="s">
        <v>234</v>
      </c>
      <c r="T81" t="b">
        <v>1</v>
      </c>
      <c r="U81" t="s">
        <v>1016</v>
      </c>
      <c r="V81">
        <v>8467</v>
      </c>
      <c r="W81" t="s">
        <v>1467</v>
      </c>
      <c r="X81" t="s">
        <v>1276</v>
      </c>
      <c r="Y81">
        <v>10</v>
      </c>
      <c r="Z81">
        <v>2025</v>
      </c>
      <c r="AA81" t="s">
        <v>1586</v>
      </c>
      <c r="AF81" t="s">
        <v>1278</v>
      </c>
      <c r="AG81">
        <v>60137</v>
      </c>
      <c r="AH81" t="s">
        <v>1278</v>
      </c>
      <c r="AI81" t="s">
        <v>1587</v>
      </c>
      <c r="AJ81" t="s">
        <v>1280</v>
      </c>
      <c r="AK81" t="s">
        <v>1280</v>
      </c>
      <c r="BA81" t="s">
        <v>1282</v>
      </c>
      <c r="BB81" t="b">
        <v>0</v>
      </c>
      <c r="BF81" t="s">
        <v>1588</v>
      </c>
    </row>
    <row r="82" spans="1:58" x14ac:dyDescent="0.2">
      <c r="A82" t="s">
        <v>1017</v>
      </c>
      <c r="C82" t="s">
        <v>22</v>
      </c>
      <c r="D82" s="1">
        <v>44999.799305555556</v>
      </c>
      <c r="E82">
        <v>4</v>
      </c>
      <c r="F82" t="str">
        <f t="shared" si="1"/>
        <v>ROTOWIRE</v>
      </c>
      <c r="G82">
        <v>0</v>
      </c>
      <c r="H82" t="s">
        <v>23</v>
      </c>
      <c r="I82">
        <v>4</v>
      </c>
      <c r="J82">
        <v>0</v>
      </c>
      <c r="K82">
        <v>0.42</v>
      </c>
      <c r="L82">
        <v>0</v>
      </c>
      <c r="M82" t="s">
        <v>23</v>
      </c>
      <c r="N82" t="s">
        <v>1274</v>
      </c>
      <c r="O82" t="s">
        <v>24</v>
      </c>
      <c r="P82" t="s">
        <v>710</v>
      </c>
      <c r="Q82" t="s">
        <v>1018</v>
      </c>
      <c r="S82" t="s">
        <v>1019</v>
      </c>
      <c r="T82" t="b">
        <v>1</v>
      </c>
      <c r="U82" t="s">
        <v>1020</v>
      </c>
      <c r="V82">
        <v>7311</v>
      </c>
      <c r="W82" t="s">
        <v>1467</v>
      </c>
      <c r="X82" t="s">
        <v>1276</v>
      </c>
      <c r="Y82">
        <v>8</v>
      </c>
      <c r="Z82">
        <v>2025</v>
      </c>
      <c r="AA82" t="s">
        <v>1589</v>
      </c>
      <c r="AF82" t="s">
        <v>1278</v>
      </c>
      <c r="AG82">
        <v>30519</v>
      </c>
      <c r="AH82" t="s">
        <v>1278</v>
      </c>
      <c r="AI82" t="s">
        <v>1590</v>
      </c>
      <c r="AJ82" t="s">
        <v>1280</v>
      </c>
      <c r="AK82" t="s">
        <v>1280</v>
      </c>
      <c r="BA82" t="s">
        <v>1282</v>
      </c>
      <c r="BB82" t="b">
        <v>0</v>
      </c>
      <c r="BF82" t="s">
        <v>1591</v>
      </c>
    </row>
    <row r="83" spans="1:58" x14ac:dyDescent="0.2">
      <c r="A83" t="s">
        <v>1021</v>
      </c>
      <c r="C83" t="s">
        <v>22</v>
      </c>
      <c r="D83" s="1">
        <v>44999.779861111114</v>
      </c>
      <c r="E83">
        <v>4</v>
      </c>
      <c r="F83" t="str">
        <f t="shared" si="1"/>
        <v>ROTOWIRE</v>
      </c>
      <c r="G83">
        <v>0</v>
      </c>
      <c r="H83" t="s">
        <v>23</v>
      </c>
      <c r="I83">
        <v>4</v>
      </c>
      <c r="J83">
        <v>0</v>
      </c>
      <c r="K83">
        <v>0.42</v>
      </c>
      <c r="L83">
        <v>0</v>
      </c>
      <c r="M83" t="s">
        <v>23</v>
      </c>
      <c r="N83" t="s">
        <v>1274</v>
      </c>
      <c r="O83" t="s">
        <v>24</v>
      </c>
      <c r="P83" t="s">
        <v>710</v>
      </c>
      <c r="Q83" t="s">
        <v>1022</v>
      </c>
      <c r="S83" t="s">
        <v>1023</v>
      </c>
      <c r="T83" t="b">
        <v>1</v>
      </c>
      <c r="U83" t="s">
        <v>1024</v>
      </c>
      <c r="V83">
        <v>9290</v>
      </c>
      <c r="W83" t="s">
        <v>1275</v>
      </c>
      <c r="X83" t="s">
        <v>1276</v>
      </c>
      <c r="Y83">
        <v>3</v>
      </c>
      <c r="Z83">
        <v>2024</v>
      </c>
      <c r="AA83" t="s">
        <v>1592</v>
      </c>
      <c r="AF83" t="s">
        <v>1278</v>
      </c>
      <c r="AG83">
        <v>55337</v>
      </c>
      <c r="AH83" t="s">
        <v>1278</v>
      </c>
      <c r="AI83" t="s">
        <v>1593</v>
      </c>
      <c r="AJ83" t="s">
        <v>1280</v>
      </c>
      <c r="AK83" t="s">
        <v>1280</v>
      </c>
      <c r="BA83" t="s">
        <v>1282</v>
      </c>
      <c r="BB83" t="b">
        <v>1</v>
      </c>
      <c r="BF83" t="s">
        <v>1594</v>
      </c>
    </row>
    <row r="84" spans="1:58" x14ac:dyDescent="0.2">
      <c r="A84" t="s">
        <v>1025</v>
      </c>
      <c r="C84" t="s">
        <v>22</v>
      </c>
      <c r="D84" s="1">
        <v>44999.779166666667</v>
      </c>
      <c r="E84">
        <v>5</v>
      </c>
      <c r="F84" t="str">
        <f t="shared" si="1"/>
        <v>NONE</v>
      </c>
      <c r="G84">
        <v>0</v>
      </c>
      <c r="H84" t="s">
        <v>23</v>
      </c>
      <c r="I84">
        <v>5</v>
      </c>
      <c r="J84">
        <v>0</v>
      </c>
      <c r="K84">
        <v>0.45</v>
      </c>
      <c r="L84">
        <v>0</v>
      </c>
      <c r="M84" t="s">
        <v>23</v>
      </c>
      <c r="N84" t="s">
        <v>1274</v>
      </c>
      <c r="O84" t="s">
        <v>24</v>
      </c>
      <c r="P84" t="s">
        <v>710</v>
      </c>
      <c r="Q84" t="s">
        <v>1026</v>
      </c>
      <c r="S84" t="s">
        <v>1027</v>
      </c>
      <c r="T84" t="b">
        <v>1</v>
      </c>
      <c r="U84" t="s">
        <v>1028</v>
      </c>
      <c r="V84">
        <v>5035</v>
      </c>
      <c r="W84" t="s">
        <v>1275</v>
      </c>
      <c r="X84" t="s">
        <v>1276</v>
      </c>
      <c r="Y84">
        <v>9</v>
      </c>
      <c r="Z84">
        <v>2027</v>
      </c>
      <c r="AA84" t="s">
        <v>1595</v>
      </c>
      <c r="AF84" t="s">
        <v>1278</v>
      </c>
      <c r="AG84">
        <v>87109</v>
      </c>
      <c r="AH84" t="s">
        <v>1278</v>
      </c>
      <c r="AI84" t="s">
        <v>1596</v>
      </c>
      <c r="AJ84" t="s">
        <v>1280</v>
      </c>
      <c r="AK84" t="s">
        <v>1280</v>
      </c>
      <c r="BA84" t="s">
        <v>1282</v>
      </c>
      <c r="BB84" t="b">
        <v>1</v>
      </c>
      <c r="BF84" t="s">
        <v>1597</v>
      </c>
    </row>
    <row r="85" spans="1:58" x14ac:dyDescent="0.2">
      <c r="A85" t="s">
        <v>1029</v>
      </c>
      <c r="C85" t="s">
        <v>22</v>
      </c>
      <c r="D85" s="1">
        <v>44999.775000000001</v>
      </c>
      <c r="E85">
        <v>5</v>
      </c>
      <c r="F85" t="str">
        <f t="shared" si="1"/>
        <v>NONE</v>
      </c>
      <c r="G85">
        <v>0</v>
      </c>
      <c r="H85" t="s">
        <v>23</v>
      </c>
      <c r="I85">
        <v>5</v>
      </c>
      <c r="J85">
        <v>0</v>
      </c>
      <c r="K85">
        <v>0.45</v>
      </c>
      <c r="L85">
        <v>0</v>
      </c>
      <c r="M85" t="s">
        <v>23</v>
      </c>
      <c r="N85" t="s">
        <v>1274</v>
      </c>
      <c r="O85" t="s">
        <v>24</v>
      </c>
      <c r="P85" t="s">
        <v>710</v>
      </c>
      <c r="Q85" t="s">
        <v>1030</v>
      </c>
      <c r="S85" t="s">
        <v>1031</v>
      </c>
      <c r="T85" t="b">
        <v>1</v>
      </c>
      <c r="U85" t="s">
        <v>1032</v>
      </c>
      <c r="V85">
        <v>4156</v>
      </c>
      <c r="W85" t="s">
        <v>1275</v>
      </c>
      <c r="X85" t="s">
        <v>1307</v>
      </c>
      <c r="Y85">
        <v>11</v>
      </c>
      <c r="Z85">
        <v>2023</v>
      </c>
      <c r="AA85" t="s">
        <v>1598</v>
      </c>
      <c r="AF85" t="s">
        <v>1278</v>
      </c>
      <c r="AG85">
        <v>96151</v>
      </c>
      <c r="AH85" t="s">
        <v>1278</v>
      </c>
      <c r="AI85" t="s">
        <v>1599</v>
      </c>
      <c r="AJ85" t="s">
        <v>1280</v>
      </c>
      <c r="AK85" t="s">
        <v>1280</v>
      </c>
      <c r="BA85" t="s">
        <v>1282</v>
      </c>
      <c r="BB85" t="b">
        <v>1</v>
      </c>
      <c r="BF85" t="s">
        <v>1600</v>
      </c>
    </row>
    <row r="86" spans="1:58" x14ac:dyDescent="0.2">
      <c r="A86" t="s">
        <v>1033</v>
      </c>
      <c r="C86" t="s">
        <v>22</v>
      </c>
      <c r="D86" s="1">
        <v>44999.769444444442</v>
      </c>
      <c r="E86">
        <v>5</v>
      </c>
      <c r="F86" t="str">
        <f t="shared" si="1"/>
        <v>NONE</v>
      </c>
      <c r="G86">
        <v>0</v>
      </c>
      <c r="H86" t="s">
        <v>23</v>
      </c>
      <c r="I86">
        <v>5</v>
      </c>
      <c r="J86">
        <v>0</v>
      </c>
      <c r="K86">
        <v>0.45</v>
      </c>
      <c r="L86">
        <v>0</v>
      </c>
      <c r="M86" t="s">
        <v>23</v>
      </c>
      <c r="N86" t="s">
        <v>1274</v>
      </c>
      <c r="O86" t="s">
        <v>24</v>
      </c>
      <c r="P86" t="s">
        <v>710</v>
      </c>
      <c r="Q86" t="s">
        <v>1034</v>
      </c>
      <c r="S86" t="s">
        <v>1035</v>
      </c>
      <c r="T86" t="b">
        <v>1</v>
      </c>
      <c r="U86" t="s">
        <v>1036</v>
      </c>
      <c r="V86">
        <v>5995</v>
      </c>
      <c r="W86" t="s">
        <v>1467</v>
      </c>
      <c r="X86" t="s">
        <v>1276</v>
      </c>
      <c r="Y86">
        <v>5</v>
      </c>
      <c r="Z86">
        <v>2027</v>
      </c>
      <c r="AA86" t="s">
        <v>1601</v>
      </c>
      <c r="AF86" t="s">
        <v>1278</v>
      </c>
      <c r="AG86">
        <v>46350</v>
      </c>
      <c r="AH86" t="s">
        <v>1278</v>
      </c>
      <c r="AI86" t="s">
        <v>1602</v>
      </c>
      <c r="AJ86" t="s">
        <v>1280</v>
      </c>
      <c r="AK86" t="s">
        <v>1280</v>
      </c>
      <c r="BA86" t="s">
        <v>1282</v>
      </c>
      <c r="BB86" t="b">
        <v>1</v>
      </c>
      <c r="BF86" t="s">
        <v>1603</v>
      </c>
    </row>
    <row r="87" spans="1:58" x14ac:dyDescent="0.2">
      <c r="A87" t="s">
        <v>1037</v>
      </c>
      <c r="C87" t="s">
        <v>22</v>
      </c>
      <c r="D87" s="1">
        <v>44999.758333333331</v>
      </c>
      <c r="E87">
        <v>4</v>
      </c>
      <c r="F87" t="str">
        <f t="shared" si="1"/>
        <v>ROTOWIRE</v>
      </c>
      <c r="G87">
        <v>0</v>
      </c>
      <c r="H87" t="s">
        <v>23</v>
      </c>
      <c r="I87">
        <v>4</v>
      </c>
      <c r="J87">
        <v>0</v>
      </c>
      <c r="K87">
        <v>0.42</v>
      </c>
      <c r="L87">
        <v>0</v>
      </c>
      <c r="M87" t="s">
        <v>23</v>
      </c>
      <c r="N87" t="s">
        <v>1274</v>
      </c>
      <c r="O87" t="s">
        <v>24</v>
      </c>
      <c r="P87" t="s">
        <v>710</v>
      </c>
      <c r="Q87" t="s">
        <v>1038</v>
      </c>
      <c r="S87" t="s">
        <v>1039</v>
      </c>
      <c r="T87" t="b">
        <v>1</v>
      </c>
      <c r="U87" t="s">
        <v>1040</v>
      </c>
      <c r="V87">
        <v>5949</v>
      </c>
      <c r="W87" t="s">
        <v>1275</v>
      </c>
      <c r="X87" t="s">
        <v>1307</v>
      </c>
      <c r="Y87">
        <v>2</v>
      </c>
      <c r="Z87">
        <v>2027</v>
      </c>
      <c r="AA87" t="s">
        <v>1604</v>
      </c>
      <c r="AF87" t="s">
        <v>1278</v>
      </c>
      <c r="AG87">
        <v>53051</v>
      </c>
      <c r="AH87" t="s">
        <v>1278</v>
      </c>
      <c r="AI87" t="s">
        <v>1605</v>
      </c>
      <c r="AJ87" t="s">
        <v>1280</v>
      </c>
      <c r="AK87" t="s">
        <v>1280</v>
      </c>
      <c r="BA87" t="s">
        <v>1282</v>
      </c>
      <c r="BB87" t="b">
        <v>0</v>
      </c>
      <c r="BF87" t="s">
        <v>1606</v>
      </c>
    </row>
    <row r="88" spans="1:58" x14ac:dyDescent="0.2">
      <c r="A88" t="s">
        <v>1041</v>
      </c>
      <c r="C88" t="s">
        <v>22</v>
      </c>
      <c r="D88" s="1">
        <v>44999.757638888892</v>
      </c>
      <c r="E88">
        <v>4</v>
      </c>
      <c r="F88" t="str">
        <f t="shared" si="1"/>
        <v>ROTOWIRE</v>
      </c>
      <c r="G88">
        <v>0</v>
      </c>
      <c r="H88" t="s">
        <v>23</v>
      </c>
      <c r="I88">
        <v>4</v>
      </c>
      <c r="J88">
        <v>0</v>
      </c>
      <c r="K88">
        <v>0.42</v>
      </c>
      <c r="L88">
        <v>0</v>
      </c>
      <c r="M88" t="s">
        <v>23</v>
      </c>
      <c r="N88" t="s">
        <v>1274</v>
      </c>
      <c r="O88" t="s">
        <v>24</v>
      </c>
      <c r="P88" t="s">
        <v>710</v>
      </c>
      <c r="Q88" t="s">
        <v>1042</v>
      </c>
      <c r="S88" t="s">
        <v>1043</v>
      </c>
      <c r="T88" t="b">
        <v>1</v>
      </c>
      <c r="U88" t="s">
        <v>1044</v>
      </c>
      <c r="V88">
        <v>8331</v>
      </c>
      <c r="W88" t="s">
        <v>1275</v>
      </c>
      <c r="X88" t="s">
        <v>1307</v>
      </c>
      <c r="Y88">
        <v>10</v>
      </c>
      <c r="Z88">
        <v>2023</v>
      </c>
      <c r="AA88" t="s">
        <v>1607</v>
      </c>
      <c r="AF88" t="s">
        <v>1278</v>
      </c>
      <c r="AG88">
        <v>75070</v>
      </c>
      <c r="AH88" t="s">
        <v>1278</v>
      </c>
      <c r="AI88" t="s">
        <v>1608</v>
      </c>
      <c r="AJ88" t="s">
        <v>1280</v>
      </c>
      <c r="AK88" t="s">
        <v>1280</v>
      </c>
      <c r="BA88" t="s">
        <v>1282</v>
      </c>
      <c r="BB88" t="b">
        <v>1</v>
      </c>
      <c r="BF88" t="s">
        <v>1609</v>
      </c>
    </row>
    <row r="89" spans="1:58" x14ac:dyDescent="0.2">
      <c r="A89" t="s">
        <v>1045</v>
      </c>
      <c r="C89" t="s">
        <v>22</v>
      </c>
      <c r="D89" s="1">
        <v>44999.75</v>
      </c>
      <c r="E89">
        <v>5</v>
      </c>
      <c r="F89" t="str">
        <f t="shared" si="1"/>
        <v>NONE</v>
      </c>
      <c r="G89">
        <v>0</v>
      </c>
      <c r="H89" t="s">
        <v>23</v>
      </c>
      <c r="I89">
        <v>5</v>
      </c>
      <c r="J89">
        <v>0</v>
      </c>
      <c r="K89">
        <v>0.45</v>
      </c>
      <c r="L89">
        <v>0</v>
      </c>
      <c r="M89" t="s">
        <v>23</v>
      </c>
      <c r="N89" t="s">
        <v>1274</v>
      </c>
      <c r="O89" t="s">
        <v>24</v>
      </c>
      <c r="P89" t="s">
        <v>710</v>
      </c>
      <c r="Q89" t="s">
        <v>1046</v>
      </c>
      <c r="S89" t="s">
        <v>218</v>
      </c>
      <c r="T89" t="b">
        <v>1</v>
      </c>
      <c r="U89" t="s">
        <v>1047</v>
      </c>
      <c r="V89">
        <v>388</v>
      </c>
      <c r="W89" t="s">
        <v>1275</v>
      </c>
      <c r="X89" t="s">
        <v>1307</v>
      </c>
      <c r="Y89">
        <v>12</v>
      </c>
      <c r="Z89">
        <v>2023</v>
      </c>
      <c r="AA89" t="s">
        <v>1610</v>
      </c>
      <c r="AB89" t="s">
        <v>1611</v>
      </c>
      <c r="AC89" t="s">
        <v>1612</v>
      </c>
      <c r="AD89" t="s">
        <v>1613</v>
      </c>
      <c r="AE89" t="s">
        <v>1447</v>
      </c>
      <c r="AF89" t="s">
        <v>1278</v>
      </c>
      <c r="AG89">
        <v>33401</v>
      </c>
      <c r="AH89" t="s">
        <v>1278</v>
      </c>
      <c r="AI89" t="s">
        <v>1614</v>
      </c>
      <c r="AK89" t="s">
        <v>1280</v>
      </c>
      <c r="AL89" t="s">
        <v>1280</v>
      </c>
      <c r="AM89" t="s">
        <v>1299</v>
      </c>
      <c r="BA89" t="s">
        <v>1282</v>
      </c>
      <c r="BB89" t="b">
        <v>0</v>
      </c>
      <c r="BF89" t="s">
        <v>1615</v>
      </c>
    </row>
    <row r="90" spans="1:58" x14ac:dyDescent="0.2">
      <c r="A90" t="s">
        <v>1048</v>
      </c>
      <c r="C90" t="s">
        <v>22</v>
      </c>
      <c r="D90" s="1">
        <v>44999.73541666667</v>
      </c>
      <c r="E90">
        <v>5</v>
      </c>
      <c r="F90" t="str">
        <f t="shared" si="1"/>
        <v>NONE</v>
      </c>
      <c r="G90">
        <v>0</v>
      </c>
      <c r="H90" t="s">
        <v>23</v>
      </c>
      <c r="I90">
        <v>5</v>
      </c>
      <c r="J90">
        <v>0</v>
      </c>
      <c r="K90">
        <v>0.45</v>
      </c>
      <c r="L90">
        <v>0</v>
      </c>
      <c r="M90" t="s">
        <v>23</v>
      </c>
      <c r="N90" t="s">
        <v>1274</v>
      </c>
      <c r="O90" t="s">
        <v>24</v>
      </c>
      <c r="P90" t="s">
        <v>710</v>
      </c>
      <c r="Q90" t="s">
        <v>1049</v>
      </c>
      <c r="S90" t="s">
        <v>1050</v>
      </c>
      <c r="T90" t="b">
        <v>1</v>
      </c>
      <c r="U90" t="s">
        <v>1051</v>
      </c>
      <c r="V90">
        <v>1717</v>
      </c>
      <c r="W90" t="s">
        <v>1275</v>
      </c>
      <c r="X90" t="s">
        <v>1276</v>
      </c>
      <c r="Y90">
        <v>8</v>
      </c>
      <c r="Z90">
        <v>2027</v>
      </c>
      <c r="AA90" t="s">
        <v>1616</v>
      </c>
      <c r="AF90" t="s">
        <v>1278</v>
      </c>
      <c r="AG90">
        <v>75056</v>
      </c>
      <c r="AH90" t="s">
        <v>1278</v>
      </c>
      <c r="AI90" t="s">
        <v>1617</v>
      </c>
      <c r="AJ90" t="s">
        <v>1280</v>
      </c>
      <c r="AK90" t="s">
        <v>1280</v>
      </c>
      <c r="BA90" t="s">
        <v>1282</v>
      </c>
      <c r="BB90" t="b">
        <v>1</v>
      </c>
      <c r="BF90" t="s">
        <v>1618</v>
      </c>
    </row>
    <row r="91" spans="1:58" x14ac:dyDescent="0.2">
      <c r="A91" t="s">
        <v>1052</v>
      </c>
      <c r="C91" t="s">
        <v>22</v>
      </c>
      <c r="D91" s="1">
        <v>44999.734722222223</v>
      </c>
      <c r="E91">
        <v>3.75</v>
      </c>
      <c r="F91" t="str">
        <f t="shared" si="1"/>
        <v>EMAIL</v>
      </c>
      <c r="G91">
        <v>0</v>
      </c>
      <c r="H91" t="s">
        <v>23</v>
      </c>
      <c r="I91">
        <v>3.75</v>
      </c>
      <c r="J91">
        <v>0</v>
      </c>
      <c r="K91">
        <v>0.41</v>
      </c>
      <c r="L91">
        <v>0</v>
      </c>
      <c r="M91" t="s">
        <v>23</v>
      </c>
      <c r="N91" t="s">
        <v>1274</v>
      </c>
      <c r="O91" t="s">
        <v>24</v>
      </c>
      <c r="P91" t="s">
        <v>710</v>
      </c>
      <c r="Q91" t="s">
        <v>1053</v>
      </c>
      <c r="S91" t="s">
        <v>1054</v>
      </c>
      <c r="T91" t="b">
        <v>1</v>
      </c>
      <c r="U91" t="s">
        <v>1055</v>
      </c>
      <c r="V91">
        <v>2706</v>
      </c>
      <c r="W91" t="s">
        <v>1284</v>
      </c>
      <c r="X91" t="s">
        <v>1276</v>
      </c>
      <c r="Y91">
        <v>12</v>
      </c>
      <c r="Z91">
        <v>2025</v>
      </c>
      <c r="AA91" t="s">
        <v>1619</v>
      </c>
      <c r="AB91" t="s">
        <v>1620</v>
      </c>
      <c r="AD91" t="s">
        <v>1621</v>
      </c>
      <c r="AE91" t="s">
        <v>1338</v>
      </c>
      <c r="AF91" t="s">
        <v>1278</v>
      </c>
      <c r="AG91">
        <v>76117</v>
      </c>
      <c r="AH91" t="s">
        <v>1278</v>
      </c>
      <c r="AI91" t="s">
        <v>1622</v>
      </c>
      <c r="AK91" t="s">
        <v>1280</v>
      </c>
      <c r="AL91" t="s">
        <v>1280</v>
      </c>
      <c r="AM91" t="s">
        <v>1299</v>
      </c>
      <c r="BA91" t="s">
        <v>1282</v>
      </c>
      <c r="BB91" t="b">
        <v>0</v>
      </c>
      <c r="BF91" t="s">
        <v>1623</v>
      </c>
    </row>
    <row r="92" spans="1:58" x14ac:dyDescent="0.2">
      <c r="A92" t="s">
        <v>1056</v>
      </c>
      <c r="C92" t="s">
        <v>22</v>
      </c>
      <c r="D92" s="1">
        <v>44999.71875</v>
      </c>
      <c r="E92">
        <v>5</v>
      </c>
      <c r="F92" t="str">
        <f t="shared" si="1"/>
        <v>NONE</v>
      </c>
      <c r="G92">
        <v>0</v>
      </c>
      <c r="H92" t="s">
        <v>23</v>
      </c>
      <c r="I92">
        <v>5</v>
      </c>
      <c r="J92">
        <v>0</v>
      </c>
      <c r="K92">
        <v>0.45</v>
      </c>
      <c r="L92">
        <v>0</v>
      </c>
      <c r="M92" t="s">
        <v>23</v>
      </c>
      <c r="N92" t="s">
        <v>1274</v>
      </c>
      <c r="O92" t="s">
        <v>24</v>
      </c>
      <c r="P92" t="s">
        <v>710</v>
      </c>
      <c r="Q92" t="s">
        <v>1057</v>
      </c>
      <c r="S92" t="s">
        <v>354</v>
      </c>
      <c r="T92" t="b">
        <v>1</v>
      </c>
      <c r="U92" t="s">
        <v>1058</v>
      </c>
      <c r="V92">
        <v>2000</v>
      </c>
      <c r="W92" t="s">
        <v>1331</v>
      </c>
      <c r="X92" t="s">
        <v>1276</v>
      </c>
      <c r="Y92">
        <v>12</v>
      </c>
      <c r="Z92">
        <v>2027</v>
      </c>
      <c r="AA92" t="s">
        <v>1624</v>
      </c>
      <c r="AF92" t="s">
        <v>1278</v>
      </c>
      <c r="AG92">
        <v>30316</v>
      </c>
      <c r="AH92" t="s">
        <v>1278</v>
      </c>
      <c r="AI92" t="s">
        <v>1625</v>
      </c>
      <c r="AJ92" t="s">
        <v>1280</v>
      </c>
      <c r="AK92" t="s">
        <v>1280</v>
      </c>
      <c r="BA92" t="s">
        <v>1282</v>
      </c>
      <c r="BB92" t="b">
        <v>1</v>
      </c>
      <c r="BF92" t="s">
        <v>1626</v>
      </c>
    </row>
    <row r="93" spans="1:58" x14ac:dyDescent="0.2">
      <c r="A93" t="s">
        <v>1059</v>
      </c>
      <c r="C93" t="s">
        <v>22</v>
      </c>
      <c r="D93" s="1">
        <v>44999.717361111114</v>
      </c>
      <c r="E93">
        <v>3.75</v>
      </c>
      <c r="F93" t="str">
        <f t="shared" si="1"/>
        <v>EMAIL</v>
      </c>
      <c r="G93">
        <v>0</v>
      </c>
      <c r="H93" t="s">
        <v>23</v>
      </c>
      <c r="I93">
        <v>3.75</v>
      </c>
      <c r="J93">
        <v>0</v>
      </c>
      <c r="K93">
        <v>0.41</v>
      </c>
      <c r="L93">
        <v>0</v>
      </c>
      <c r="M93" t="s">
        <v>23</v>
      </c>
      <c r="N93" t="s">
        <v>1274</v>
      </c>
      <c r="O93" t="s">
        <v>24</v>
      </c>
      <c r="P93" t="s">
        <v>710</v>
      </c>
      <c r="Q93" t="s">
        <v>1060</v>
      </c>
      <c r="S93" t="s">
        <v>1061</v>
      </c>
      <c r="T93" t="b">
        <v>1</v>
      </c>
      <c r="U93" t="s">
        <v>1062</v>
      </c>
      <c r="V93">
        <v>9665</v>
      </c>
      <c r="W93" t="s">
        <v>1275</v>
      </c>
      <c r="X93" t="s">
        <v>1276</v>
      </c>
      <c r="Y93">
        <v>10</v>
      </c>
      <c r="Z93">
        <v>2025</v>
      </c>
      <c r="AA93" t="s">
        <v>1627</v>
      </c>
      <c r="AF93" t="s">
        <v>1278</v>
      </c>
      <c r="AG93">
        <v>68502</v>
      </c>
      <c r="AH93" t="s">
        <v>1278</v>
      </c>
      <c r="AI93" t="s">
        <v>1628</v>
      </c>
      <c r="AJ93" t="s">
        <v>1280</v>
      </c>
      <c r="AK93" t="s">
        <v>1280</v>
      </c>
      <c r="BA93" t="s">
        <v>1282</v>
      </c>
      <c r="BB93" t="b">
        <v>0</v>
      </c>
      <c r="BF93" t="s">
        <v>1629</v>
      </c>
    </row>
    <row r="94" spans="1:58" x14ac:dyDescent="0.2">
      <c r="A94" t="s">
        <v>1063</v>
      </c>
      <c r="C94" t="s">
        <v>22</v>
      </c>
      <c r="D94" s="1">
        <v>44999.712500000001</v>
      </c>
      <c r="E94">
        <v>3.75</v>
      </c>
      <c r="F94" t="str">
        <f t="shared" si="1"/>
        <v>EMAIL</v>
      </c>
      <c r="G94">
        <v>0</v>
      </c>
      <c r="H94" t="s">
        <v>23</v>
      </c>
      <c r="I94">
        <v>3.75</v>
      </c>
      <c r="J94">
        <v>0</v>
      </c>
      <c r="K94">
        <v>0.41</v>
      </c>
      <c r="L94">
        <v>0</v>
      </c>
      <c r="M94" t="s">
        <v>23</v>
      </c>
      <c r="N94" t="s">
        <v>1274</v>
      </c>
      <c r="O94" t="s">
        <v>24</v>
      </c>
      <c r="P94" t="s">
        <v>710</v>
      </c>
      <c r="Q94" t="s">
        <v>1064</v>
      </c>
      <c r="S94" t="s">
        <v>1065</v>
      </c>
      <c r="T94" t="b">
        <v>1</v>
      </c>
      <c r="U94" t="s">
        <v>1066</v>
      </c>
      <c r="V94">
        <v>8111</v>
      </c>
      <c r="W94" t="s">
        <v>1284</v>
      </c>
      <c r="X94" t="s">
        <v>1307</v>
      </c>
      <c r="Y94">
        <v>10</v>
      </c>
      <c r="Z94">
        <v>2024</v>
      </c>
      <c r="AA94" t="s">
        <v>1630</v>
      </c>
      <c r="AF94" t="s">
        <v>1278</v>
      </c>
      <c r="AG94">
        <v>79936</v>
      </c>
      <c r="AH94" t="s">
        <v>1278</v>
      </c>
      <c r="AI94" t="s">
        <v>1631</v>
      </c>
      <c r="AJ94" t="s">
        <v>1280</v>
      </c>
      <c r="AK94" t="s">
        <v>1280</v>
      </c>
      <c r="BA94" t="s">
        <v>1282</v>
      </c>
      <c r="BB94" t="b">
        <v>0</v>
      </c>
      <c r="BF94" t="s">
        <v>1632</v>
      </c>
    </row>
    <row r="95" spans="1:58" x14ac:dyDescent="0.2">
      <c r="A95" t="s">
        <v>1067</v>
      </c>
      <c r="C95" t="s">
        <v>22</v>
      </c>
      <c r="D95" s="1">
        <v>44999.709722222222</v>
      </c>
      <c r="E95">
        <v>3.75</v>
      </c>
      <c r="F95" t="str">
        <f t="shared" si="1"/>
        <v>EMAIL</v>
      </c>
      <c r="G95">
        <v>0</v>
      </c>
      <c r="H95" t="s">
        <v>23</v>
      </c>
      <c r="I95">
        <v>3.75</v>
      </c>
      <c r="J95">
        <v>0</v>
      </c>
      <c r="K95">
        <v>0.41</v>
      </c>
      <c r="L95">
        <v>0</v>
      </c>
      <c r="M95" t="s">
        <v>23</v>
      </c>
      <c r="N95" t="s">
        <v>1274</v>
      </c>
      <c r="O95" t="s">
        <v>24</v>
      </c>
      <c r="P95" t="s">
        <v>710</v>
      </c>
      <c r="Q95" t="s">
        <v>1068</v>
      </c>
      <c r="S95" t="s">
        <v>1069</v>
      </c>
      <c r="T95" t="b">
        <v>1</v>
      </c>
      <c r="U95" t="s">
        <v>1070</v>
      </c>
      <c r="V95">
        <v>4007</v>
      </c>
      <c r="W95" t="s">
        <v>1331</v>
      </c>
      <c r="X95" t="s">
        <v>1276</v>
      </c>
      <c r="Y95">
        <v>10</v>
      </c>
      <c r="Z95">
        <v>2028</v>
      </c>
      <c r="AA95" t="s">
        <v>1633</v>
      </c>
      <c r="AF95" t="s">
        <v>1278</v>
      </c>
      <c r="AG95">
        <v>20904</v>
      </c>
      <c r="AH95" t="s">
        <v>1278</v>
      </c>
      <c r="AI95" t="s">
        <v>1634</v>
      </c>
      <c r="AJ95" t="s">
        <v>1280</v>
      </c>
      <c r="AK95" t="s">
        <v>1280</v>
      </c>
      <c r="BA95" t="s">
        <v>1282</v>
      </c>
      <c r="BB95" t="b">
        <v>1</v>
      </c>
      <c r="BF95" t="s">
        <v>1635</v>
      </c>
    </row>
    <row r="96" spans="1:58" x14ac:dyDescent="0.2">
      <c r="A96" t="s">
        <v>1071</v>
      </c>
      <c r="C96" t="s">
        <v>22</v>
      </c>
      <c r="D96" s="1">
        <v>44999.705555555556</v>
      </c>
      <c r="E96">
        <v>5</v>
      </c>
      <c r="F96" t="str">
        <f t="shared" si="1"/>
        <v>NONE</v>
      </c>
      <c r="G96">
        <v>0</v>
      </c>
      <c r="H96" t="s">
        <v>23</v>
      </c>
      <c r="I96">
        <v>5</v>
      </c>
      <c r="J96">
        <v>0</v>
      </c>
      <c r="K96">
        <v>0.45</v>
      </c>
      <c r="L96">
        <v>0</v>
      </c>
      <c r="M96" t="s">
        <v>23</v>
      </c>
      <c r="N96" t="s">
        <v>1274</v>
      </c>
      <c r="O96" t="s">
        <v>24</v>
      </c>
      <c r="P96" t="s">
        <v>710</v>
      </c>
      <c r="Q96" t="s">
        <v>1072</v>
      </c>
      <c r="S96" t="s">
        <v>1073</v>
      </c>
      <c r="T96" t="b">
        <v>1</v>
      </c>
      <c r="U96" t="s">
        <v>1074</v>
      </c>
      <c r="V96">
        <v>1160</v>
      </c>
      <c r="W96" t="s">
        <v>1275</v>
      </c>
      <c r="X96" t="s">
        <v>1307</v>
      </c>
      <c r="Y96">
        <v>5</v>
      </c>
      <c r="Z96">
        <v>2026</v>
      </c>
      <c r="AA96" t="s">
        <v>1636</v>
      </c>
      <c r="AF96" t="s">
        <v>1278</v>
      </c>
      <c r="AG96">
        <v>29579</v>
      </c>
      <c r="AH96" t="s">
        <v>1278</v>
      </c>
      <c r="AI96" t="s">
        <v>1637</v>
      </c>
      <c r="AJ96" t="s">
        <v>1280</v>
      </c>
      <c r="AK96" t="s">
        <v>1280</v>
      </c>
      <c r="BA96" t="s">
        <v>1282</v>
      </c>
      <c r="BB96" t="b">
        <v>0</v>
      </c>
      <c r="BF96" t="s">
        <v>1638</v>
      </c>
    </row>
    <row r="97" spans="1:58" x14ac:dyDescent="0.2">
      <c r="A97" t="s">
        <v>1075</v>
      </c>
      <c r="C97" t="s">
        <v>22</v>
      </c>
      <c r="D97" s="1">
        <v>44999.70416666667</v>
      </c>
      <c r="E97">
        <v>5</v>
      </c>
      <c r="F97" t="str">
        <f t="shared" si="1"/>
        <v>NONE</v>
      </c>
      <c r="G97">
        <v>0</v>
      </c>
      <c r="H97" t="s">
        <v>23</v>
      </c>
      <c r="I97">
        <v>5</v>
      </c>
      <c r="J97">
        <v>0</v>
      </c>
      <c r="K97">
        <v>0.45</v>
      </c>
      <c r="L97">
        <v>0</v>
      </c>
      <c r="M97" t="s">
        <v>23</v>
      </c>
      <c r="N97" t="s">
        <v>1274</v>
      </c>
      <c r="O97" t="s">
        <v>24</v>
      </c>
      <c r="P97" t="s">
        <v>710</v>
      </c>
      <c r="Q97" t="s">
        <v>1076</v>
      </c>
      <c r="S97" t="s">
        <v>1077</v>
      </c>
      <c r="T97" t="b">
        <v>1</v>
      </c>
      <c r="U97" t="s">
        <v>1078</v>
      </c>
      <c r="V97">
        <v>9642</v>
      </c>
      <c r="W97" t="s">
        <v>1467</v>
      </c>
      <c r="X97" t="s">
        <v>1276</v>
      </c>
      <c r="Y97">
        <v>10</v>
      </c>
      <c r="Z97">
        <v>2024</v>
      </c>
      <c r="AA97" t="s">
        <v>1639</v>
      </c>
      <c r="AF97" t="s">
        <v>1278</v>
      </c>
      <c r="AG97">
        <v>80550</v>
      </c>
      <c r="AH97" t="s">
        <v>1278</v>
      </c>
      <c r="AI97" t="s">
        <v>1640</v>
      </c>
      <c r="AJ97" t="s">
        <v>1280</v>
      </c>
      <c r="AK97" t="s">
        <v>1280</v>
      </c>
      <c r="BA97" t="s">
        <v>1282</v>
      </c>
      <c r="BB97" t="b">
        <v>0</v>
      </c>
      <c r="BF97" t="s">
        <v>1641</v>
      </c>
    </row>
    <row r="98" spans="1:58" x14ac:dyDescent="0.2">
      <c r="A98" t="s">
        <v>1079</v>
      </c>
      <c r="C98" t="s">
        <v>22</v>
      </c>
      <c r="D98" s="1">
        <v>44999.702777777777</v>
      </c>
      <c r="E98">
        <v>5</v>
      </c>
      <c r="F98" t="str">
        <f t="shared" si="1"/>
        <v>NONE</v>
      </c>
      <c r="G98">
        <v>0</v>
      </c>
      <c r="H98" t="s">
        <v>23</v>
      </c>
      <c r="I98">
        <v>5</v>
      </c>
      <c r="J98">
        <v>0</v>
      </c>
      <c r="K98">
        <v>0.45</v>
      </c>
      <c r="L98">
        <v>0</v>
      </c>
      <c r="M98" t="s">
        <v>23</v>
      </c>
      <c r="N98" t="s">
        <v>1274</v>
      </c>
      <c r="O98" t="s">
        <v>24</v>
      </c>
      <c r="P98" t="s">
        <v>710</v>
      </c>
      <c r="Q98" t="s">
        <v>1080</v>
      </c>
      <c r="S98" t="s">
        <v>1081</v>
      </c>
      <c r="T98" t="b">
        <v>1</v>
      </c>
      <c r="U98" t="s">
        <v>1082</v>
      </c>
      <c r="V98">
        <v>4738</v>
      </c>
      <c r="W98" t="s">
        <v>1275</v>
      </c>
      <c r="X98" t="s">
        <v>1276</v>
      </c>
      <c r="Y98">
        <v>12</v>
      </c>
      <c r="Z98">
        <v>2023</v>
      </c>
      <c r="AA98" t="s">
        <v>1642</v>
      </c>
      <c r="AB98" t="s">
        <v>1643</v>
      </c>
      <c r="AD98" t="s">
        <v>1644</v>
      </c>
      <c r="AE98" t="s">
        <v>1362</v>
      </c>
      <c r="AF98" t="s">
        <v>1278</v>
      </c>
      <c r="AG98">
        <v>93636</v>
      </c>
      <c r="AH98" t="s">
        <v>1278</v>
      </c>
      <c r="AI98" t="s">
        <v>1645</v>
      </c>
      <c r="AK98" t="s">
        <v>1280</v>
      </c>
      <c r="AL98" t="s">
        <v>1280</v>
      </c>
      <c r="AM98" t="s">
        <v>1299</v>
      </c>
      <c r="BA98" t="s">
        <v>1282</v>
      </c>
      <c r="BB98" t="b">
        <v>0</v>
      </c>
      <c r="BF98" t="s">
        <v>1646</v>
      </c>
    </row>
    <row r="99" spans="1:58" x14ac:dyDescent="0.2">
      <c r="A99" t="s">
        <v>1083</v>
      </c>
      <c r="C99" t="s">
        <v>22</v>
      </c>
      <c r="D99" s="1">
        <v>44999.70208333333</v>
      </c>
      <c r="E99">
        <v>5</v>
      </c>
      <c r="F99" t="str">
        <f t="shared" si="1"/>
        <v>NONE</v>
      </c>
      <c r="G99">
        <v>0</v>
      </c>
      <c r="H99" t="s">
        <v>23</v>
      </c>
      <c r="I99">
        <v>5</v>
      </c>
      <c r="J99">
        <v>0</v>
      </c>
      <c r="K99">
        <v>0.45</v>
      </c>
      <c r="L99">
        <v>0</v>
      </c>
      <c r="M99" t="s">
        <v>23</v>
      </c>
      <c r="N99" t="s">
        <v>1274</v>
      </c>
      <c r="O99" t="s">
        <v>24</v>
      </c>
      <c r="P99" t="s">
        <v>710</v>
      </c>
      <c r="Q99" t="s">
        <v>1084</v>
      </c>
      <c r="S99" t="s">
        <v>1085</v>
      </c>
      <c r="T99" t="b">
        <v>1</v>
      </c>
      <c r="U99" t="s">
        <v>1086</v>
      </c>
      <c r="V99">
        <v>6072</v>
      </c>
      <c r="W99" t="s">
        <v>1275</v>
      </c>
      <c r="X99" t="s">
        <v>1276</v>
      </c>
      <c r="Y99">
        <v>12</v>
      </c>
      <c r="Z99">
        <v>2023</v>
      </c>
      <c r="AA99" t="s">
        <v>1647</v>
      </c>
      <c r="AB99" t="s">
        <v>1648</v>
      </c>
      <c r="AD99" t="s">
        <v>1649</v>
      </c>
      <c r="AE99" t="s">
        <v>1356</v>
      </c>
      <c r="AF99" t="s">
        <v>1278</v>
      </c>
      <c r="AG99">
        <v>44685</v>
      </c>
      <c r="AH99" t="s">
        <v>1278</v>
      </c>
      <c r="AI99" t="s">
        <v>1650</v>
      </c>
      <c r="AK99" t="s">
        <v>1280</v>
      </c>
      <c r="AL99" t="s">
        <v>1280</v>
      </c>
      <c r="AM99" t="s">
        <v>1299</v>
      </c>
      <c r="BA99" t="s">
        <v>1282</v>
      </c>
      <c r="BB99" t="b">
        <v>0</v>
      </c>
      <c r="BF99" t="s">
        <v>1651</v>
      </c>
    </row>
    <row r="100" spans="1:58" x14ac:dyDescent="0.2">
      <c r="A100" t="s">
        <v>1087</v>
      </c>
      <c r="C100" t="s">
        <v>22</v>
      </c>
      <c r="D100" s="1">
        <v>44999.693749999999</v>
      </c>
      <c r="E100">
        <v>5</v>
      </c>
      <c r="F100" t="str">
        <f t="shared" si="1"/>
        <v>NONE</v>
      </c>
      <c r="G100">
        <v>0</v>
      </c>
      <c r="H100" t="s">
        <v>23</v>
      </c>
      <c r="I100">
        <v>5</v>
      </c>
      <c r="J100">
        <v>0</v>
      </c>
      <c r="K100">
        <v>0.45</v>
      </c>
      <c r="L100">
        <v>0</v>
      </c>
      <c r="M100" t="s">
        <v>23</v>
      </c>
      <c r="N100" t="s">
        <v>1274</v>
      </c>
      <c r="O100" t="s">
        <v>24</v>
      </c>
      <c r="P100" t="s">
        <v>710</v>
      </c>
      <c r="Q100" t="s">
        <v>1088</v>
      </c>
      <c r="S100" t="s">
        <v>1089</v>
      </c>
      <c r="T100" t="b">
        <v>1</v>
      </c>
      <c r="U100" t="s">
        <v>1090</v>
      </c>
      <c r="V100">
        <v>5848</v>
      </c>
      <c r="W100" t="s">
        <v>1275</v>
      </c>
      <c r="X100" t="s">
        <v>1276</v>
      </c>
      <c r="Y100">
        <v>12</v>
      </c>
      <c r="Z100">
        <v>2023</v>
      </c>
      <c r="AA100" t="s">
        <v>1652</v>
      </c>
      <c r="AB100" t="s">
        <v>1653</v>
      </c>
      <c r="AD100" t="s">
        <v>1654</v>
      </c>
      <c r="AE100" t="s">
        <v>1655</v>
      </c>
      <c r="AF100" t="s">
        <v>1278</v>
      </c>
      <c r="AG100">
        <v>50131</v>
      </c>
      <c r="AH100" t="s">
        <v>1278</v>
      </c>
      <c r="AI100" t="s">
        <v>1656</v>
      </c>
      <c r="AK100" t="s">
        <v>1280</v>
      </c>
      <c r="AL100" t="s">
        <v>1280</v>
      </c>
      <c r="AM100" t="s">
        <v>1299</v>
      </c>
      <c r="BA100" t="s">
        <v>1282</v>
      </c>
      <c r="BB100" t="b">
        <v>0</v>
      </c>
      <c r="BF100" t="s">
        <v>1657</v>
      </c>
    </row>
    <row r="101" spans="1:58" x14ac:dyDescent="0.2">
      <c r="A101" t="s">
        <v>1091</v>
      </c>
      <c r="C101" t="s">
        <v>22</v>
      </c>
      <c r="D101" s="1">
        <v>44999.691666666666</v>
      </c>
      <c r="E101">
        <v>5</v>
      </c>
      <c r="F101" t="str">
        <f t="shared" si="1"/>
        <v>NONE</v>
      </c>
      <c r="G101">
        <v>0</v>
      </c>
      <c r="H101" t="s">
        <v>23</v>
      </c>
      <c r="I101">
        <v>5</v>
      </c>
      <c r="J101">
        <v>0</v>
      </c>
      <c r="K101">
        <v>0.45</v>
      </c>
      <c r="L101">
        <v>0</v>
      </c>
      <c r="M101" t="s">
        <v>23</v>
      </c>
      <c r="N101" t="s">
        <v>1274</v>
      </c>
      <c r="O101" t="s">
        <v>24</v>
      </c>
      <c r="P101" t="s">
        <v>710</v>
      </c>
      <c r="Q101" t="s">
        <v>1092</v>
      </c>
      <c r="S101" t="s">
        <v>1093</v>
      </c>
      <c r="T101" t="b">
        <v>1</v>
      </c>
      <c r="U101" t="s">
        <v>1094</v>
      </c>
      <c r="V101">
        <v>8416</v>
      </c>
      <c r="W101" t="s">
        <v>1284</v>
      </c>
      <c r="X101" t="s">
        <v>1307</v>
      </c>
      <c r="Y101">
        <v>11</v>
      </c>
      <c r="Z101">
        <v>2025</v>
      </c>
      <c r="AA101" t="s">
        <v>1658</v>
      </c>
      <c r="AF101" t="s">
        <v>1278</v>
      </c>
      <c r="AG101">
        <v>16601</v>
      </c>
      <c r="AH101" t="s">
        <v>1278</v>
      </c>
      <c r="AI101" t="s">
        <v>1659</v>
      </c>
      <c r="AJ101" t="s">
        <v>1280</v>
      </c>
      <c r="AK101" t="s">
        <v>1280</v>
      </c>
      <c r="BA101" t="s">
        <v>1282</v>
      </c>
      <c r="BB101" t="b">
        <v>0</v>
      </c>
      <c r="BF101" t="s">
        <v>1660</v>
      </c>
    </row>
    <row r="102" spans="1:58" x14ac:dyDescent="0.2">
      <c r="A102" t="s">
        <v>1095</v>
      </c>
      <c r="C102" t="s">
        <v>22</v>
      </c>
      <c r="D102" s="1">
        <v>44999.688888888886</v>
      </c>
      <c r="E102">
        <v>5</v>
      </c>
      <c r="F102" t="str">
        <f t="shared" si="1"/>
        <v>NONE</v>
      </c>
      <c r="G102">
        <v>0</v>
      </c>
      <c r="H102" t="s">
        <v>23</v>
      </c>
      <c r="I102">
        <v>5</v>
      </c>
      <c r="J102">
        <v>0</v>
      </c>
      <c r="K102">
        <v>0.45</v>
      </c>
      <c r="L102">
        <v>0</v>
      </c>
      <c r="M102" t="s">
        <v>23</v>
      </c>
      <c r="N102" t="s">
        <v>1274</v>
      </c>
      <c r="O102" t="s">
        <v>24</v>
      </c>
      <c r="P102" t="s">
        <v>710</v>
      </c>
      <c r="Q102" t="s">
        <v>1096</v>
      </c>
      <c r="S102" t="s">
        <v>1097</v>
      </c>
      <c r="T102" t="b">
        <v>1</v>
      </c>
      <c r="U102" t="s">
        <v>1098</v>
      </c>
      <c r="V102">
        <v>5735</v>
      </c>
      <c r="W102" t="s">
        <v>1275</v>
      </c>
      <c r="X102" t="s">
        <v>1276</v>
      </c>
      <c r="Y102">
        <v>12</v>
      </c>
      <c r="Z102">
        <v>2023</v>
      </c>
      <c r="AA102" t="s">
        <v>1661</v>
      </c>
      <c r="AB102" t="s">
        <v>1662</v>
      </c>
      <c r="AD102" t="s">
        <v>1663</v>
      </c>
      <c r="AE102" t="s">
        <v>1664</v>
      </c>
      <c r="AF102" t="s">
        <v>1278</v>
      </c>
      <c r="AG102">
        <v>1826</v>
      </c>
      <c r="AH102" t="s">
        <v>1278</v>
      </c>
      <c r="AI102" t="s">
        <v>1665</v>
      </c>
      <c r="AK102" t="s">
        <v>1280</v>
      </c>
      <c r="AL102" t="s">
        <v>1280</v>
      </c>
      <c r="AM102" t="s">
        <v>1299</v>
      </c>
      <c r="BA102" t="s">
        <v>1282</v>
      </c>
      <c r="BB102" t="b">
        <v>0</v>
      </c>
      <c r="BF102" t="s">
        <v>1666</v>
      </c>
    </row>
    <row r="103" spans="1:58" x14ac:dyDescent="0.2">
      <c r="A103" t="s">
        <v>1099</v>
      </c>
      <c r="C103" t="s">
        <v>22</v>
      </c>
      <c r="D103" s="1">
        <v>44999.6875</v>
      </c>
      <c r="E103">
        <v>5</v>
      </c>
      <c r="F103" t="str">
        <f t="shared" si="1"/>
        <v>NONE</v>
      </c>
      <c r="G103">
        <v>0</v>
      </c>
      <c r="H103" t="s">
        <v>23</v>
      </c>
      <c r="I103">
        <v>5</v>
      </c>
      <c r="J103">
        <v>0</v>
      </c>
      <c r="K103">
        <v>0.45</v>
      </c>
      <c r="L103">
        <v>0</v>
      </c>
      <c r="M103" t="s">
        <v>23</v>
      </c>
      <c r="N103" t="s">
        <v>1274</v>
      </c>
      <c r="O103" t="s">
        <v>24</v>
      </c>
      <c r="P103" t="s">
        <v>710</v>
      </c>
      <c r="Q103" t="s">
        <v>1100</v>
      </c>
      <c r="S103" t="s">
        <v>1101</v>
      </c>
      <c r="T103" t="b">
        <v>1</v>
      </c>
      <c r="U103" t="s">
        <v>1102</v>
      </c>
      <c r="V103">
        <v>1518</v>
      </c>
      <c r="W103" t="s">
        <v>1275</v>
      </c>
      <c r="X103" t="s">
        <v>1276</v>
      </c>
      <c r="Y103">
        <v>4</v>
      </c>
      <c r="Z103">
        <v>2026</v>
      </c>
      <c r="AA103" t="s">
        <v>1667</v>
      </c>
      <c r="AB103" t="s">
        <v>1668</v>
      </c>
      <c r="AD103" t="s">
        <v>1669</v>
      </c>
      <c r="AE103" t="s">
        <v>1670</v>
      </c>
      <c r="AF103" t="s">
        <v>1278</v>
      </c>
      <c r="AG103">
        <v>55306</v>
      </c>
      <c r="AH103" t="s">
        <v>1278</v>
      </c>
      <c r="AI103" t="s">
        <v>1671</v>
      </c>
      <c r="AK103" t="s">
        <v>1280</v>
      </c>
      <c r="AL103" t="s">
        <v>1280</v>
      </c>
      <c r="AM103" t="s">
        <v>1351</v>
      </c>
      <c r="BA103" t="s">
        <v>1282</v>
      </c>
      <c r="BB103" t="b">
        <v>0</v>
      </c>
      <c r="BF103" t="s">
        <v>1672</v>
      </c>
    </row>
    <row r="104" spans="1:58" x14ac:dyDescent="0.2">
      <c r="A104" t="s">
        <v>1103</v>
      </c>
      <c r="C104" t="s">
        <v>22</v>
      </c>
      <c r="D104" s="1">
        <v>44999.667361111111</v>
      </c>
      <c r="E104">
        <v>4</v>
      </c>
      <c r="F104" t="str">
        <f t="shared" si="1"/>
        <v>ROTOWIRE</v>
      </c>
      <c r="G104">
        <v>0</v>
      </c>
      <c r="H104" t="s">
        <v>23</v>
      </c>
      <c r="I104">
        <v>4</v>
      </c>
      <c r="J104">
        <v>0</v>
      </c>
      <c r="K104">
        <v>0.42</v>
      </c>
      <c r="L104">
        <v>0</v>
      </c>
      <c r="M104" t="s">
        <v>23</v>
      </c>
      <c r="N104" t="s">
        <v>1274</v>
      </c>
      <c r="O104" t="s">
        <v>24</v>
      </c>
      <c r="P104" t="s">
        <v>710</v>
      </c>
      <c r="Q104" t="s">
        <v>1104</v>
      </c>
      <c r="S104" t="s">
        <v>1105</v>
      </c>
      <c r="T104" t="b">
        <v>1</v>
      </c>
      <c r="U104" t="s">
        <v>1106</v>
      </c>
      <c r="V104">
        <v>8161</v>
      </c>
      <c r="W104" t="s">
        <v>1284</v>
      </c>
      <c r="X104" t="s">
        <v>1276</v>
      </c>
      <c r="Y104">
        <v>11</v>
      </c>
      <c r="Z104">
        <v>2025</v>
      </c>
      <c r="AA104" t="s">
        <v>1673</v>
      </c>
      <c r="AB104" t="s">
        <v>1674</v>
      </c>
      <c r="AD104" t="s">
        <v>1675</v>
      </c>
      <c r="AE104" t="s">
        <v>1304</v>
      </c>
      <c r="AF104" t="s">
        <v>1278</v>
      </c>
      <c r="AG104">
        <v>28173</v>
      </c>
      <c r="AH104" t="s">
        <v>1278</v>
      </c>
      <c r="AI104" t="s">
        <v>1676</v>
      </c>
      <c r="AK104" t="s">
        <v>1280</v>
      </c>
      <c r="AL104" t="s">
        <v>1280</v>
      </c>
      <c r="AM104" t="s">
        <v>1299</v>
      </c>
      <c r="BA104" t="s">
        <v>1282</v>
      </c>
      <c r="BB104" t="b">
        <v>0</v>
      </c>
      <c r="BF104" t="s">
        <v>1677</v>
      </c>
    </row>
    <row r="105" spans="1:58" x14ac:dyDescent="0.2">
      <c r="A105" t="s">
        <v>1107</v>
      </c>
      <c r="C105" t="s">
        <v>22</v>
      </c>
      <c r="D105" s="1">
        <v>44999.666666666664</v>
      </c>
      <c r="E105">
        <v>5</v>
      </c>
      <c r="F105" t="str">
        <f t="shared" si="1"/>
        <v>NONE</v>
      </c>
      <c r="G105">
        <v>0</v>
      </c>
      <c r="H105" t="s">
        <v>23</v>
      </c>
      <c r="I105">
        <v>5</v>
      </c>
      <c r="J105">
        <v>0</v>
      </c>
      <c r="K105">
        <v>0.45</v>
      </c>
      <c r="L105">
        <v>0</v>
      </c>
      <c r="M105" t="s">
        <v>23</v>
      </c>
      <c r="N105" t="s">
        <v>1274</v>
      </c>
      <c r="O105" t="s">
        <v>24</v>
      </c>
      <c r="P105" t="s">
        <v>710</v>
      </c>
      <c r="Q105" t="s">
        <v>1108</v>
      </c>
      <c r="S105" t="s">
        <v>1109</v>
      </c>
      <c r="T105" t="b">
        <v>1</v>
      </c>
      <c r="U105" t="s">
        <v>1110</v>
      </c>
      <c r="V105">
        <v>591</v>
      </c>
      <c r="W105" t="s">
        <v>1467</v>
      </c>
      <c r="X105" t="s">
        <v>1276</v>
      </c>
      <c r="Y105">
        <v>1</v>
      </c>
      <c r="Z105">
        <v>2028</v>
      </c>
      <c r="AA105" t="s">
        <v>1678</v>
      </c>
      <c r="AB105" t="s">
        <v>1679</v>
      </c>
      <c r="AD105" t="s">
        <v>1680</v>
      </c>
      <c r="AE105" t="s">
        <v>1681</v>
      </c>
      <c r="AF105" t="s">
        <v>1278</v>
      </c>
      <c r="AG105">
        <v>2861</v>
      </c>
      <c r="AH105" t="s">
        <v>1278</v>
      </c>
      <c r="AI105" t="s">
        <v>1682</v>
      </c>
      <c r="AK105" t="s">
        <v>1280</v>
      </c>
      <c r="AL105" t="s">
        <v>1280</v>
      </c>
      <c r="AM105" t="s">
        <v>1351</v>
      </c>
      <c r="BA105" t="s">
        <v>1282</v>
      </c>
      <c r="BB105" t="b">
        <v>0</v>
      </c>
      <c r="BF105" t="s">
        <v>1683</v>
      </c>
    </row>
    <row r="106" spans="1:58" x14ac:dyDescent="0.2">
      <c r="A106" t="s">
        <v>1111</v>
      </c>
      <c r="C106" t="s">
        <v>22</v>
      </c>
      <c r="D106" s="1">
        <v>44999.631249999999</v>
      </c>
      <c r="E106">
        <v>5</v>
      </c>
      <c r="F106" t="str">
        <f t="shared" si="1"/>
        <v>NONE</v>
      </c>
      <c r="G106">
        <v>0</v>
      </c>
      <c r="H106" t="s">
        <v>23</v>
      </c>
      <c r="I106">
        <v>5</v>
      </c>
      <c r="J106">
        <v>0</v>
      </c>
      <c r="K106">
        <v>0.45</v>
      </c>
      <c r="L106">
        <v>0</v>
      </c>
      <c r="M106" t="s">
        <v>23</v>
      </c>
      <c r="N106" t="s">
        <v>1274</v>
      </c>
      <c r="O106" t="s">
        <v>24</v>
      </c>
      <c r="P106" t="s">
        <v>710</v>
      </c>
      <c r="Q106" t="s">
        <v>1112</v>
      </c>
      <c r="S106" t="s">
        <v>1113</v>
      </c>
      <c r="T106" t="b">
        <v>1</v>
      </c>
      <c r="U106" t="s">
        <v>1114</v>
      </c>
      <c r="V106">
        <v>263</v>
      </c>
      <c r="W106" t="s">
        <v>1275</v>
      </c>
      <c r="X106" t="s">
        <v>1276</v>
      </c>
      <c r="Y106">
        <v>8</v>
      </c>
      <c r="Z106">
        <v>2025</v>
      </c>
      <c r="AA106" t="s">
        <v>1684</v>
      </c>
      <c r="AB106" t="s">
        <v>1685</v>
      </c>
      <c r="AD106" t="s">
        <v>1686</v>
      </c>
      <c r="AE106" t="s">
        <v>1687</v>
      </c>
      <c r="AF106" t="s">
        <v>1278</v>
      </c>
      <c r="AG106">
        <v>41018</v>
      </c>
      <c r="AH106" t="s">
        <v>1278</v>
      </c>
      <c r="AI106" t="s">
        <v>1688</v>
      </c>
      <c r="AK106" t="s">
        <v>1280</v>
      </c>
      <c r="AL106" t="s">
        <v>1280</v>
      </c>
      <c r="BA106" t="s">
        <v>1282</v>
      </c>
      <c r="BB106" t="b">
        <v>1</v>
      </c>
      <c r="BF106" t="s">
        <v>1689</v>
      </c>
    </row>
    <row r="107" spans="1:58" x14ac:dyDescent="0.2">
      <c r="A107" t="s">
        <v>1115</v>
      </c>
      <c r="C107" t="s">
        <v>22</v>
      </c>
      <c r="D107" s="1">
        <v>44999.629166666666</v>
      </c>
      <c r="E107">
        <v>5</v>
      </c>
      <c r="F107" t="str">
        <f t="shared" si="1"/>
        <v>NONE</v>
      </c>
      <c r="G107">
        <v>0</v>
      </c>
      <c r="H107" t="s">
        <v>23</v>
      </c>
      <c r="I107">
        <v>5</v>
      </c>
      <c r="J107">
        <v>0</v>
      </c>
      <c r="K107">
        <v>0.45</v>
      </c>
      <c r="L107">
        <v>0</v>
      </c>
      <c r="M107" t="s">
        <v>23</v>
      </c>
      <c r="N107" t="s">
        <v>1274</v>
      </c>
      <c r="O107" t="s">
        <v>24</v>
      </c>
      <c r="P107" t="s">
        <v>710</v>
      </c>
      <c r="Q107" t="s">
        <v>1116</v>
      </c>
      <c r="S107" t="s">
        <v>1117</v>
      </c>
      <c r="T107" t="b">
        <v>1</v>
      </c>
      <c r="U107" t="s">
        <v>1118</v>
      </c>
      <c r="V107">
        <v>1000</v>
      </c>
      <c r="W107" t="s">
        <v>1331</v>
      </c>
      <c r="X107" t="s">
        <v>1276</v>
      </c>
      <c r="Y107">
        <v>1</v>
      </c>
      <c r="Z107">
        <v>2028</v>
      </c>
      <c r="AA107" t="s">
        <v>1690</v>
      </c>
      <c r="AF107" t="s">
        <v>1278</v>
      </c>
      <c r="AG107">
        <v>50312</v>
      </c>
      <c r="AH107" t="s">
        <v>1278</v>
      </c>
      <c r="AI107" t="s">
        <v>1691</v>
      </c>
      <c r="AJ107" t="s">
        <v>1280</v>
      </c>
      <c r="AK107" t="s">
        <v>1280</v>
      </c>
      <c r="BA107" t="s">
        <v>1282</v>
      </c>
      <c r="BB107" t="b">
        <v>0</v>
      </c>
      <c r="BF107" t="s">
        <v>1692</v>
      </c>
    </row>
    <row r="108" spans="1:58" x14ac:dyDescent="0.2">
      <c r="A108" t="s">
        <v>1119</v>
      </c>
      <c r="C108" t="s">
        <v>22</v>
      </c>
      <c r="D108" s="1">
        <v>44999.618055555555</v>
      </c>
      <c r="E108">
        <v>5</v>
      </c>
      <c r="F108" t="str">
        <f t="shared" si="1"/>
        <v>NONE</v>
      </c>
      <c r="G108">
        <v>0</v>
      </c>
      <c r="H108" t="s">
        <v>23</v>
      </c>
      <c r="I108">
        <v>5</v>
      </c>
      <c r="J108">
        <v>0</v>
      </c>
      <c r="K108">
        <v>0.45</v>
      </c>
      <c r="L108">
        <v>0</v>
      </c>
      <c r="M108" t="s">
        <v>23</v>
      </c>
      <c r="N108" t="s">
        <v>1274</v>
      </c>
      <c r="O108" t="s">
        <v>24</v>
      </c>
      <c r="P108" t="s">
        <v>710</v>
      </c>
      <c r="Q108" t="s">
        <v>1120</v>
      </c>
      <c r="S108" t="s">
        <v>1121</v>
      </c>
      <c r="T108" t="b">
        <v>1</v>
      </c>
      <c r="U108" t="s">
        <v>1122</v>
      </c>
      <c r="V108">
        <v>3567</v>
      </c>
      <c r="W108" t="s">
        <v>1275</v>
      </c>
      <c r="X108" t="s">
        <v>1276</v>
      </c>
      <c r="Y108">
        <v>11</v>
      </c>
      <c r="Z108">
        <v>2023</v>
      </c>
      <c r="AA108" t="s">
        <v>1693</v>
      </c>
      <c r="AF108" t="s">
        <v>1278</v>
      </c>
      <c r="AG108">
        <v>97217</v>
      </c>
      <c r="AH108" t="s">
        <v>1278</v>
      </c>
      <c r="AI108" t="s">
        <v>1694</v>
      </c>
      <c r="AJ108" t="s">
        <v>1280</v>
      </c>
      <c r="AK108" t="s">
        <v>1280</v>
      </c>
      <c r="BA108" t="s">
        <v>1282</v>
      </c>
      <c r="BB108" t="b">
        <v>1</v>
      </c>
      <c r="BF108" t="s">
        <v>1695</v>
      </c>
    </row>
    <row r="109" spans="1:58" x14ac:dyDescent="0.2">
      <c r="A109" t="s">
        <v>1123</v>
      </c>
      <c r="C109" t="s">
        <v>22</v>
      </c>
      <c r="D109" s="1">
        <v>44999.602083333331</v>
      </c>
      <c r="E109">
        <v>5</v>
      </c>
      <c r="F109" t="str">
        <f t="shared" si="1"/>
        <v>NONE</v>
      </c>
      <c r="G109">
        <v>0</v>
      </c>
      <c r="H109" t="s">
        <v>23</v>
      </c>
      <c r="I109">
        <v>5</v>
      </c>
      <c r="J109">
        <v>0</v>
      </c>
      <c r="K109">
        <v>0.45</v>
      </c>
      <c r="L109">
        <v>0</v>
      </c>
      <c r="M109" t="s">
        <v>23</v>
      </c>
      <c r="N109" t="s">
        <v>1274</v>
      </c>
      <c r="O109" t="s">
        <v>24</v>
      </c>
      <c r="P109" t="s">
        <v>710</v>
      </c>
      <c r="Q109" t="s">
        <v>1124</v>
      </c>
      <c r="S109" t="s">
        <v>1125</v>
      </c>
      <c r="T109" t="b">
        <v>1</v>
      </c>
      <c r="U109" t="s">
        <v>1126</v>
      </c>
      <c r="V109">
        <v>4686</v>
      </c>
      <c r="W109" t="s">
        <v>1284</v>
      </c>
      <c r="X109" t="s">
        <v>1307</v>
      </c>
      <c r="Y109">
        <v>1</v>
      </c>
      <c r="Z109">
        <v>2025</v>
      </c>
      <c r="AA109" t="s">
        <v>1696</v>
      </c>
      <c r="AF109" t="s">
        <v>1278</v>
      </c>
      <c r="AG109">
        <v>64804</v>
      </c>
      <c r="AH109" t="s">
        <v>1278</v>
      </c>
      <c r="AI109" t="s">
        <v>1697</v>
      </c>
      <c r="AJ109" t="s">
        <v>1280</v>
      </c>
      <c r="AK109" t="s">
        <v>1280</v>
      </c>
      <c r="BA109" t="s">
        <v>1282</v>
      </c>
      <c r="BB109" t="b">
        <v>1</v>
      </c>
      <c r="BF109" t="s">
        <v>1698</v>
      </c>
    </row>
    <row r="110" spans="1:58" x14ac:dyDescent="0.2">
      <c r="A110" t="s">
        <v>1127</v>
      </c>
      <c r="C110" t="s">
        <v>22</v>
      </c>
      <c r="D110" s="1">
        <v>44999.548611111109</v>
      </c>
      <c r="E110">
        <v>4</v>
      </c>
      <c r="F110" t="str">
        <f t="shared" si="1"/>
        <v>ROTOWIRE</v>
      </c>
      <c r="G110">
        <v>0</v>
      </c>
      <c r="H110" t="s">
        <v>23</v>
      </c>
      <c r="I110">
        <v>4</v>
      </c>
      <c r="J110">
        <v>0</v>
      </c>
      <c r="K110">
        <v>0.42</v>
      </c>
      <c r="L110">
        <v>0</v>
      </c>
      <c r="M110" t="s">
        <v>23</v>
      </c>
      <c r="N110" t="s">
        <v>1274</v>
      </c>
      <c r="O110" t="s">
        <v>24</v>
      </c>
      <c r="P110" t="s">
        <v>710</v>
      </c>
      <c r="Q110" t="s">
        <v>1128</v>
      </c>
      <c r="S110" t="s">
        <v>1129</v>
      </c>
      <c r="T110" t="b">
        <v>1</v>
      </c>
      <c r="U110" t="s">
        <v>1130</v>
      </c>
      <c r="V110">
        <v>3086</v>
      </c>
      <c r="W110" t="s">
        <v>1275</v>
      </c>
      <c r="X110" t="s">
        <v>1276</v>
      </c>
      <c r="Y110">
        <v>2</v>
      </c>
      <c r="Z110">
        <v>2028</v>
      </c>
      <c r="AA110" t="s">
        <v>1699</v>
      </c>
      <c r="AF110" t="s">
        <v>1278</v>
      </c>
      <c r="AG110">
        <v>10950</v>
      </c>
      <c r="AH110" t="s">
        <v>1278</v>
      </c>
      <c r="AI110" t="s">
        <v>1700</v>
      </c>
      <c r="AJ110" t="s">
        <v>1280</v>
      </c>
      <c r="AK110" t="s">
        <v>1280</v>
      </c>
      <c r="BA110" t="s">
        <v>1282</v>
      </c>
      <c r="BB110" t="b">
        <v>0</v>
      </c>
      <c r="BF110" t="s">
        <v>1701</v>
      </c>
    </row>
    <row r="111" spans="1:58" x14ac:dyDescent="0.2">
      <c r="A111" t="s">
        <v>1131</v>
      </c>
      <c r="C111" t="s">
        <v>22</v>
      </c>
      <c r="D111" s="1">
        <v>44999.147916666669</v>
      </c>
      <c r="E111">
        <v>5</v>
      </c>
      <c r="F111" t="str">
        <f t="shared" si="1"/>
        <v>NONE</v>
      </c>
      <c r="G111">
        <v>0</v>
      </c>
      <c r="H111" t="s">
        <v>23</v>
      </c>
      <c r="I111">
        <v>5</v>
      </c>
      <c r="J111">
        <v>0</v>
      </c>
      <c r="K111">
        <v>0.45</v>
      </c>
      <c r="L111">
        <v>0</v>
      </c>
      <c r="M111" t="s">
        <v>23</v>
      </c>
      <c r="N111" t="s">
        <v>1274</v>
      </c>
      <c r="O111" t="s">
        <v>24</v>
      </c>
      <c r="P111" t="s">
        <v>710</v>
      </c>
      <c r="Q111" t="s">
        <v>1132</v>
      </c>
      <c r="S111" t="s">
        <v>54</v>
      </c>
      <c r="T111" t="b">
        <v>1</v>
      </c>
      <c r="U111" t="s">
        <v>1133</v>
      </c>
      <c r="V111">
        <v>9504</v>
      </c>
      <c r="W111" t="s">
        <v>1284</v>
      </c>
      <c r="X111" t="s">
        <v>1276</v>
      </c>
      <c r="Y111">
        <v>3</v>
      </c>
      <c r="Z111">
        <v>2024</v>
      </c>
      <c r="AA111" t="s">
        <v>1702</v>
      </c>
      <c r="AF111" t="s">
        <v>1362</v>
      </c>
      <c r="AG111" t="s">
        <v>1703</v>
      </c>
      <c r="AH111" t="s">
        <v>1362</v>
      </c>
      <c r="AI111" t="s">
        <v>1704</v>
      </c>
      <c r="AJ111" t="s">
        <v>1280</v>
      </c>
      <c r="AK111" t="s">
        <v>1280</v>
      </c>
      <c r="BA111" t="s">
        <v>1282</v>
      </c>
      <c r="BB111" t="b">
        <v>0</v>
      </c>
      <c r="BF111" t="s">
        <v>1705</v>
      </c>
    </row>
    <row r="112" spans="1:58" x14ac:dyDescent="0.2">
      <c r="A112" t="s">
        <v>1134</v>
      </c>
      <c r="C112" t="s">
        <v>22</v>
      </c>
      <c r="D112" s="1">
        <v>44999.126388888886</v>
      </c>
      <c r="E112">
        <v>5</v>
      </c>
      <c r="F112" t="str">
        <f t="shared" si="1"/>
        <v>NONE</v>
      </c>
      <c r="G112">
        <v>0</v>
      </c>
      <c r="H112" t="s">
        <v>23</v>
      </c>
      <c r="I112">
        <v>5</v>
      </c>
      <c r="J112">
        <v>0</v>
      </c>
      <c r="K112">
        <v>0.45</v>
      </c>
      <c r="L112">
        <v>0</v>
      </c>
      <c r="M112" t="s">
        <v>23</v>
      </c>
      <c r="N112" t="s">
        <v>1274</v>
      </c>
      <c r="O112" t="s">
        <v>24</v>
      </c>
      <c r="P112" t="s">
        <v>710</v>
      </c>
      <c r="Q112" t="s">
        <v>1135</v>
      </c>
      <c r="S112" t="s">
        <v>1136</v>
      </c>
      <c r="T112" t="b">
        <v>1</v>
      </c>
      <c r="U112" t="s">
        <v>1137</v>
      </c>
      <c r="V112">
        <v>2985</v>
      </c>
      <c r="W112" t="s">
        <v>1284</v>
      </c>
      <c r="X112" t="s">
        <v>1276</v>
      </c>
      <c r="Y112">
        <v>11</v>
      </c>
      <c r="Z112">
        <v>2023</v>
      </c>
      <c r="AA112" t="s">
        <v>1706</v>
      </c>
      <c r="AF112" t="s">
        <v>1278</v>
      </c>
      <c r="AG112">
        <v>6085</v>
      </c>
      <c r="AH112" t="s">
        <v>1278</v>
      </c>
      <c r="AI112" t="s">
        <v>1707</v>
      </c>
      <c r="AJ112" t="s">
        <v>1280</v>
      </c>
      <c r="AK112" t="s">
        <v>1280</v>
      </c>
      <c r="BA112" t="s">
        <v>1282</v>
      </c>
      <c r="BB112" t="b">
        <v>0</v>
      </c>
      <c r="BF112" t="s">
        <v>1708</v>
      </c>
    </row>
    <row r="113" spans="1:58" x14ac:dyDescent="0.2">
      <c r="A113" t="s">
        <v>1138</v>
      </c>
      <c r="C113" t="s">
        <v>22</v>
      </c>
      <c r="D113" s="1">
        <v>44999.055555555555</v>
      </c>
      <c r="E113">
        <v>5</v>
      </c>
      <c r="F113" t="str">
        <f t="shared" si="1"/>
        <v>NONE</v>
      </c>
      <c r="G113">
        <v>0</v>
      </c>
      <c r="H113" t="s">
        <v>23</v>
      </c>
      <c r="I113">
        <v>5</v>
      </c>
      <c r="J113">
        <v>0</v>
      </c>
      <c r="K113">
        <v>0.45</v>
      </c>
      <c r="L113">
        <v>0</v>
      </c>
      <c r="M113" t="s">
        <v>23</v>
      </c>
      <c r="N113" t="s">
        <v>1274</v>
      </c>
      <c r="O113" t="s">
        <v>24</v>
      </c>
      <c r="P113" t="s">
        <v>710</v>
      </c>
      <c r="Q113" t="s">
        <v>1139</v>
      </c>
      <c r="S113" t="s">
        <v>1140</v>
      </c>
      <c r="T113" t="b">
        <v>1</v>
      </c>
      <c r="U113" t="s">
        <v>1141</v>
      </c>
      <c r="V113">
        <v>1081</v>
      </c>
      <c r="W113" t="s">
        <v>1275</v>
      </c>
      <c r="X113" t="s">
        <v>1276</v>
      </c>
      <c r="Y113">
        <v>8</v>
      </c>
      <c r="Z113">
        <v>2025</v>
      </c>
      <c r="AA113" t="s">
        <v>1709</v>
      </c>
      <c r="AF113" t="s">
        <v>1278</v>
      </c>
      <c r="AG113">
        <v>50323</v>
      </c>
      <c r="AH113" t="s">
        <v>1278</v>
      </c>
      <c r="AI113" t="s">
        <v>1710</v>
      </c>
      <c r="AJ113" t="s">
        <v>1280</v>
      </c>
      <c r="AK113" t="s">
        <v>1280</v>
      </c>
      <c r="BA113" t="s">
        <v>1282</v>
      </c>
      <c r="BB113" t="b">
        <v>1</v>
      </c>
      <c r="BF113" t="s">
        <v>1711</v>
      </c>
    </row>
    <row r="114" spans="1:58" x14ac:dyDescent="0.2">
      <c r="A114" t="s">
        <v>1142</v>
      </c>
      <c r="C114" t="s">
        <v>22</v>
      </c>
      <c r="D114" s="1">
        <v>44999.027083333334</v>
      </c>
      <c r="E114">
        <v>5</v>
      </c>
      <c r="F114" t="str">
        <f t="shared" si="1"/>
        <v>NONE</v>
      </c>
      <c r="G114">
        <v>0</v>
      </c>
      <c r="H114" t="s">
        <v>23</v>
      </c>
      <c r="I114">
        <v>5</v>
      </c>
      <c r="J114">
        <v>0</v>
      </c>
      <c r="K114">
        <v>0.45</v>
      </c>
      <c r="L114">
        <v>0</v>
      </c>
      <c r="M114" t="s">
        <v>23</v>
      </c>
      <c r="N114" t="s">
        <v>1274</v>
      </c>
      <c r="O114" t="s">
        <v>24</v>
      </c>
      <c r="P114" t="s">
        <v>710</v>
      </c>
      <c r="Q114" t="s">
        <v>1143</v>
      </c>
      <c r="S114" t="s">
        <v>190</v>
      </c>
      <c r="T114" t="b">
        <v>1</v>
      </c>
      <c r="U114" t="s">
        <v>1144</v>
      </c>
      <c r="V114">
        <v>8003</v>
      </c>
      <c r="W114" t="s">
        <v>1331</v>
      </c>
      <c r="X114" t="s">
        <v>1276</v>
      </c>
      <c r="Y114">
        <v>11</v>
      </c>
      <c r="Z114">
        <v>2024</v>
      </c>
      <c r="AA114" t="s">
        <v>1712</v>
      </c>
      <c r="AF114" t="s">
        <v>1278</v>
      </c>
      <c r="AG114">
        <v>48823</v>
      </c>
      <c r="AH114" t="s">
        <v>1278</v>
      </c>
      <c r="AI114" t="s">
        <v>1713</v>
      </c>
      <c r="AK114" t="s">
        <v>1280</v>
      </c>
      <c r="BA114" t="s">
        <v>1282</v>
      </c>
      <c r="BB114" t="b">
        <v>1</v>
      </c>
      <c r="BF114" t="s">
        <v>1714</v>
      </c>
    </row>
    <row r="115" spans="1:58" x14ac:dyDescent="0.2">
      <c r="A115" t="s">
        <v>1145</v>
      </c>
      <c r="C115" t="s">
        <v>22</v>
      </c>
      <c r="D115" s="1">
        <v>44999.008333333331</v>
      </c>
      <c r="E115">
        <v>4</v>
      </c>
      <c r="F115" t="str">
        <f t="shared" si="1"/>
        <v>ROTOWIRE</v>
      </c>
      <c r="G115">
        <v>0</v>
      </c>
      <c r="H115" t="s">
        <v>23</v>
      </c>
      <c r="I115">
        <v>4</v>
      </c>
      <c r="J115">
        <v>0</v>
      </c>
      <c r="K115">
        <v>0.42</v>
      </c>
      <c r="L115">
        <v>0</v>
      </c>
      <c r="M115" t="s">
        <v>23</v>
      </c>
      <c r="N115" t="s">
        <v>1274</v>
      </c>
      <c r="O115" t="s">
        <v>24</v>
      </c>
      <c r="P115" t="s">
        <v>710</v>
      </c>
      <c r="Q115" t="s">
        <v>1146</v>
      </c>
      <c r="S115" t="s">
        <v>1147</v>
      </c>
      <c r="T115" t="b">
        <v>1</v>
      </c>
      <c r="U115" t="s">
        <v>1148</v>
      </c>
      <c r="V115">
        <v>1634</v>
      </c>
      <c r="W115" t="s">
        <v>1275</v>
      </c>
      <c r="X115" t="s">
        <v>1276</v>
      </c>
      <c r="Y115">
        <v>12</v>
      </c>
      <c r="Z115">
        <v>2023</v>
      </c>
      <c r="AA115" t="s">
        <v>1715</v>
      </c>
      <c r="AB115" t="s">
        <v>1716</v>
      </c>
      <c r="AD115" t="s">
        <v>1717</v>
      </c>
      <c r="AE115" t="s">
        <v>1718</v>
      </c>
      <c r="AF115" t="s">
        <v>1278</v>
      </c>
      <c r="AG115">
        <v>46140</v>
      </c>
      <c r="AH115" t="s">
        <v>1278</v>
      </c>
      <c r="AI115" t="s">
        <v>1719</v>
      </c>
      <c r="AK115" t="s">
        <v>1280</v>
      </c>
      <c r="AL115" t="s">
        <v>1280</v>
      </c>
      <c r="AM115" t="s">
        <v>1299</v>
      </c>
      <c r="BA115" t="s">
        <v>1282</v>
      </c>
      <c r="BB115" t="b">
        <v>0</v>
      </c>
      <c r="BF115" t="s">
        <v>1720</v>
      </c>
    </row>
    <row r="116" spans="1:58" x14ac:dyDescent="0.2">
      <c r="A116" t="s">
        <v>1149</v>
      </c>
      <c r="C116" t="s">
        <v>22</v>
      </c>
      <c r="D116" s="1">
        <v>44998.991666666669</v>
      </c>
      <c r="E116">
        <v>5</v>
      </c>
      <c r="F116" t="str">
        <f t="shared" si="1"/>
        <v>NONE</v>
      </c>
      <c r="G116">
        <v>0</v>
      </c>
      <c r="H116" t="s">
        <v>23</v>
      </c>
      <c r="I116">
        <v>5</v>
      </c>
      <c r="J116">
        <v>0</v>
      </c>
      <c r="K116">
        <v>0.45</v>
      </c>
      <c r="L116">
        <v>0</v>
      </c>
      <c r="M116" t="s">
        <v>23</v>
      </c>
      <c r="N116" t="s">
        <v>1274</v>
      </c>
      <c r="O116" t="s">
        <v>24</v>
      </c>
      <c r="P116" t="s">
        <v>710</v>
      </c>
      <c r="Q116" t="s">
        <v>1150</v>
      </c>
      <c r="S116" t="s">
        <v>560</v>
      </c>
      <c r="T116" t="b">
        <v>1</v>
      </c>
      <c r="U116" t="s">
        <v>1151</v>
      </c>
      <c r="V116">
        <v>5004</v>
      </c>
      <c r="W116" t="s">
        <v>1331</v>
      </c>
      <c r="X116" t="s">
        <v>1276</v>
      </c>
      <c r="Y116">
        <v>11</v>
      </c>
      <c r="Z116">
        <v>2024</v>
      </c>
      <c r="AA116" t="s">
        <v>1721</v>
      </c>
      <c r="AB116" t="s">
        <v>1722</v>
      </c>
      <c r="AD116" t="s">
        <v>1723</v>
      </c>
      <c r="AE116" t="s">
        <v>1670</v>
      </c>
      <c r="AF116" t="s">
        <v>1278</v>
      </c>
      <c r="AG116">
        <v>55902</v>
      </c>
      <c r="AH116" t="s">
        <v>1278</v>
      </c>
      <c r="AI116" t="s">
        <v>1724</v>
      </c>
      <c r="AK116" t="s">
        <v>1280</v>
      </c>
      <c r="AL116" t="s">
        <v>1280</v>
      </c>
      <c r="AM116" t="s">
        <v>1299</v>
      </c>
      <c r="BA116" t="s">
        <v>1282</v>
      </c>
      <c r="BB116" t="b">
        <v>0</v>
      </c>
      <c r="BF116" t="s">
        <v>1725</v>
      </c>
    </row>
    <row r="117" spans="1:58" x14ac:dyDescent="0.2">
      <c r="A117" t="s">
        <v>1152</v>
      </c>
      <c r="C117" t="s">
        <v>22</v>
      </c>
      <c r="D117" s="1">
        <v>44998.964583333334</v>
      </c>
      <c r="E117">
        <v>5</v>
      </c>
      <c r="F117" t="str">
        <f t="shared" si="1"/>
        <v>NONE</v>
      </c>
      <c r="G117">
        <v>0</v>
      </c>
      <c r="H117" t="s">
        <v>23</v>
      </c>
      <c r="I117">
        <v>5</v>
      </c>
      <c r="J117">
        <v>0</v>
      </c>
      <c r="K117">
        <v>0.45</v>
      </c>
      <c r="L117">
        <v>0</v>
      </c>
      <c r="M117" t="s">
        <v>23</v>
      </c>
      <c r="N117" t="s">
        <v>1274</v>
      </c>
      <c r="O117" t="s">
        <v>24</v>
      </c>
      <c r="P117" t="s">
        <v>710</v>
      </c>
      <c r="Q117" t="s">
        <v>1153</v>
      </c>
      <c r="S117" t="s">
        <v>1154</v>
      </c>
      <c r="T117" t="b">
        <v>1</v>
      </c>
      <c r="U117" t="s">
        <v>1155</v>
      </c>
      <c r="V117">
        <v>6833</v>
      </c>
      <c r="W117" t="s">
        <v>1284</v>
      </c>
      <c r="X117" t="s">
        <v>1276</v>
      </c>
      <c r="Y117">
        <v>4</v>
      </c>
      <c r="Z117">
        <v>2024</v>
      </c>
      <c r="AA117" t="s">
        <v>1726</v>
      </c>
      <c r="AB117" t="s">
        <v>1727</v>
      </c>
      <c r="AD117" t="s">
        <v>1728</v>
      </c>
      <c r="AE117" t="s">
        <v>1687</v>
      </c>
      <c r="AF117" t="s">
        <v>1278</v>
      </c>
      <c r="AG117">
        <v>41051</v>
      </c>
      <c r="AH117" t="s">
        <v>1278</v>
      </c>
      <c r="AI117" t="s">
        <v>1729</v>
      </c>
      <c r="AK117" t="s">
        <v>1280</v>
      </c>
      <c r="AL117" t="s">
        <v>1280</v>
      </c>
      <c r="AM117" t="s">
        <v>1299</v>
      </c>
      <c r="BA117" t="s">
        <v>1282</v>
      </c>
      <c r="BB117" t="b">
        <v>0</v>
      </c>
      <c r="BF117" t="s">
        <v>1730</v>
      </c>
    </row>
    <row r="118" spans="1:58" x14ac:dyDescent="0.2">
      <c r="A118" t="s">
        <v>1156</v>
      </c>
      <c r="C118" t="s">
        <v>22</v>
      </c>
      <c r="D118" s="1">
        <v>44998.850694444445</v>
      </c>
      <c r="E118">
        <v>5</v>
      </c>
      <c r="F118" t="str">
        <f t="shared" si="1"/>
        <v>NONE</v>
      </c>
      <c r="G118">
        <v>0</v>
      </c>
      <c r="H118" t="s">
        <v>23</v>
      </c>
      <c r="I118">
        <v>5</v>
      </c>
      <c r="J118">
        <v>0</v>
      </c>
      <c r="K118">
        <v>0.45</v>
      </c>
      <c r="L118">
        <v>0</v>
      </c>
      <c r="M118" t="s">
        <v>23</v>
      </c>
      <c r="N118" t="s">
        <v>1274</v>
      </c>
      <c r="O118" t="s">
        <v>24</v>
      </c>
      <c r="P118" t="s">
        <v>710</v>
      </c>
      <c r="Q118" t="s">
        <v>1157</v>
      </c>
      <c r="S118" t="s">
        <v>1158</v>
      </c>
      <c r="T118" t="b">
        <v>1</v>
      </c>
      <c r="U118" t="s">
        <v>1159</v>
      </c>
      <c r="V118">
        <v>7852</v>
      </c>
      <c r="W118" t="s">
        <v>1275</v>
      </c>
      <c r="X118" t="s">
        <v>1276</v>
      </c>
      <c r="Y118">
        <v>7</v>
      </c>
      <c r="Z118">
        <v>2026</v>
      </c>
      <c r="AA118" t="s">
        <v>1731</v>
      </c>
      <c r="AF118" t="s">
        <v>1278</v>
      </c>
      <c r="AG118">
        <v>36066</v>
      </c>
      <c r="AH118" t="s">
        <v>1278</v>
      </c>
      <c r="AI118" t="s">
        <v>1732</v>
      </c>
      <c r="AJ118" t="s">
        <v>1280</v>
      </c>
      <c r="AK118" t="s">
        <v>1280</v>
      </c>
      <c r="BA118" t="s">
        <v>1282</v>
      </c>
      <c r="BB118" t="b">
        <v>0</v>
      </c>
      <c r="BF118" t="s">
        <v>1733</v>
      </c>
    </row>
    <row r="119" spans="1:58" x14ac:dyDescent="0.2">
      <c r="A119" t="s">
        <v>1160</v>
      </c>
      <c r="C119" t="s">
        <v>22</v>
      </c>
      <c r="D119" s="1">
        <v>44998.796527777777</v>
      </c>
      <c r="E119">
        <v>4</v>
      </c>
      <c r="F119" t="s">
        <v>423</v>
      </c>
      <c r="G119">
        <v>0</v>
      </c>
      <c r="H119" t="s">
        <v>23</v>
      </c>
      <c r="I119">
        <v>4</v>
      </c>
      <c r="J119">
        <v>0</v>
      </c>
      <c r="K119">
        <v>0.42</v>
      </c>
      <c r="L119">
        <v>0</v>
      </c>
      <c r="M119" t="s">
        <v>23</v>
      </c>
      <c r="N119" t="s">
        <v>1274</v>
      </c>
      <c r="O119" t="s">
        <v>24</v>
      </c>
      <c r="P119" t="s">
        <v>710</v>
      </c>
      <c r="Q119" t="s">
        <v>1161</v>
      </c>
      <c r="S119" t="s">
        <v>246</v>
      </c>
      <c r="T119" t="b">
        <v>1</v>
      </c>
      <c r="U119" t="s">
        <v>1162</v>
      </c>
      <c r="V119">
        <v>6685</v>
      </c>
      <c r="W119" t="s">
        <v>1275</v>
      </c>
      <c r="X119" t="s">
        <v>1307</v>
      </c>
      <c r="Y119">
        <v>2</v>
      </c>
      <c r="Z119">
        <v>2026</v>
      </c>
      <c r="AA119" t="s">
        <v>1734</v>
      </c>
      <c r="AF119" t="s">
        <v>1278</v>
      </c>
      <c r="AG119">
        <v>46628</v>
      </c>
      <c r="AH119" t="s">
        <v>1278</v>
      </c>
      <c r="AI119" t="s">
        <v>1735</v>
      </c>
      <c r="AK119" t="s">
        <v>1280</v>
      </c>
      <c r="BA119" t="s">
        <v>1282</v>
      </c>
      <c r="BB119" t="b">
        <v>1</v>
      </c>
      <c r="BF119" t="s">
        <v>1736</v>
      </c>
    </row>
    <row r="120" spans="1:58" x14ac:dyDescent="0.2">
      <c r="A120" t="s">
        <v>1163</v>
      </c>
      <c r="C120" t="s">
        <v>22</v>
      </c>
      <c r="D120" s="1">
        <v>44998.705555555556</v>
      </c>
      <c r="E120">
        <v>5</v>
      </c>
      <c r="F120" t="str">
        <f t="shared" si="1"/>
        <v>NONE</v>
      </c>
      <c r="G120">
        <v>0</v>
      </c>
      <c r="H120" t="s">
        <v>23</v>
      </c>
      <c r="I120">
        <v>5</v>
      </c>
      <c r="J120">
        <v>0</v>
      </c>
      <c r="K120">
        <v>0.45</v>
      </c>
      <c r="L120">
        <v>0</v>
      </c>
      <c r="M120" t="s">
        <v>23</v>
      </c>
      <c r="N120" t="s">
        <v>1274</v>
      </c>
      <c r="O120" t="s">
        <v>24</v>
      </c>
      <c r="P120" t="s">
        <v>710</v>
      </c>
      <c r="Q120" t="s">
        <v>1164</v>
      </c>
      <c r="S120" t="s">
        <v>1165</v>
      </c>
      <c r="T120" t="b">
        <v>1</v>
      </c>
      <c r="U120" t="s">
        <v>1166</v>
      </c>
      <c r="V120">
        <v>2200</v>
      </c>
      <c r="W120" t="s">
        <v>1275</v>
      </c>
      <c r="X120" t="s">
        <v>1307</v>
      </c>
      <c r="Y120">
        <v>7</v>
      </c>
      <c r="Z120">
        <v>2025</v>
      </c>
      <c r="AA120" t="s">
        <v>1737</v>
      </c>
      <c r="AF120" t="s">
        <v>1278</v>
      </c>
      <c r="AG120">
        <v>18642</v>
      </c>
      <c r="AH120" t="s">
        <v>1278</v>
      </c>
      <c r="AI120" t="s">
        <v>1738</v>
      </c>
      <c r="AJ120" t="s">
        <v>1280</v>
      </c>
      <c r="AK120" t="s">
        <v>1280</v>
      </c>
      <c r="BA120" t="s">
        <v>1282</v>
      </c>
      <c r="BB120" t="b">
        <v>1</v>
      </c>
      <c r="BF120" t="s">
        <v>1739</v>
      </c>
    </row>
    <row r="121" spans="1:58" x14ac:dyDescent="0.2">
      <c r="A121" t="s">
        <v>1167</v>
      </c>
      <c r="C121" t="s">
        <v>22</v>
      </c>
      <c r="D121" s="1">
        <v>44998.7</v>
      </c>
      <c r="E121">
        <v>5</v>
      </c>
      <c r="F121" t="str">
        <f t="shared" si="1"/>
        <v>NONE</v>
      </c>
      <c r="G121">
        <v>0</v>
      </c>
      <c r="H121" t="s">
        <v>23</v>
      </c>
      <c r="I121">
        <v>5</v>
      </c>
      <c r="J121">
        <v>0</v>
      </c>
      <c r="K121">
        <v>0.45</v>
      </c>
      <c r="L121">
        <v>0</v>
      </c>
      <c r="M121" t="s">
        <v>23</v>
      </c>
      <c r="N121" t="s">
        <v>1274</v>
      </c>
      <c r="O121" t="s">
        <v>24</v>
      </c>
      <c r="P121" t="s">
        <v>710</v>
      </c>
      <c r="Q121" t="s">
        <v>1168</v>
      </c>
      <c r="S121" t="s">
        <v>298</v>
      </c>
      <c r="T121" t="b">
        <v>1</v>
      </c>
      <c r="U121" t="s">
        <v>1169</v>
      </c>
      <c r="V121">
        <v>3000</v>
      </c>
      <c r="W121" t="s">
        <v>1331</v>
      </c>
      <c r="X121" t="s">
        <v>1276</v>
      </c>
      <c r="Y121">
        <v>7</v>
      </c>
      <c r="Z121">
        <v>2024</v>
      </c>
      <c r="AA121" t="s">
        <v>1740</v>
      </c>
      <c r="AF121" t="s">
        <v>1278</v>
      </c>
      <c r="AG121">
        <v>6854</v>
      </c>
      <c r="AH121" t="s">
        <v>1278</v>
      </c>
      <c r="AI121" t="s">
        <v>1741</v>
      </c>
      <c r="AJ121" t="s">
        <v>1280</v>
      </c>
      <c r="AK121" t="s">
        <v>1280</v>
      </c>
      <c r="BA121" t="s">
        <v>1282</v>
      </c>
      <c r="BB121" t="b">
        <v>0</v>
      </c>
      <c r="BF121" t="s">
        <v>1742</v>
      </c>
    </row>
    <row r="122" spans="1:58" x14ac:dyDescent="0.2">
      <c r="A122" t="s">
        <v>1170</v>
      </c>
      <c r="C122" t="s">
        <v>22</v>
      </c>
      <c r="D122" s="1">
        <v>44998.69027777778</v>
      </c>
      <c r="E122">
        <v>5</v>
      </c>
      <c r="F122" t="str">
        <f t="shared" si="1"/>
        <v>NONE</v>
      </c>
      <c r="G122">
        <v>0</v>
      </c>
      <c r="H122" t="s">
        <v>23</v>
      </c>
      <c r="I122">
        <v>5</v>
      </c>
      <c r="J122">
        <v>0</v>
      </c>
      <c r="K122">
        <v>0.45</v>
      </c>
      <c r="L122">
        <v>0</v>
      </c>
      <c r="M122" t="s">
        <v>23</v>
      </c>
      <c r="N122" t="s">
        <v>1274</v>
      </c>
      <c r="O122" t="s">
        <v>24</v>
      </c>
      <c r="P122" t="s">
        <v>710</v>
      </c>
      <c r="Q122" t="s">
        <v>1171</v>
      </c>
      <c r="S122" t="s">
        <v>1172</v>
      </c>
      <c r="T122" t="b">
        <v>1</v>
      </c>
      <c r="U122" t="s">
        <v>1173</v>
      </c>
      <c r="V122">
        <v>7855</v>
      </c>
      <c r="W122" t="s">
        <v>1275</v>
      </c>
      <c r="X122" t="s">
        <v>1549</v>
      </c>
      <c r="Y122">
        <v>2</v>
      </c>
      <c r="Z122">
        <v>2024</v>
      </c>
      <c r="AA122" t="s">
        <v>1743</v>
      </c>
      <c r="AF122" t="s">
        <v>1278</v>
      </c>
      <c r="AG122">
        <v>6824</v>
      </c>
      <c r="AH122" t="s">
        <v>1278</v>
      </c>
      <c r="AI122" t="s">
        <v>1744</v>
      </c>
      <c r="AJ122" t="s">
        <v>1280</v>
      </c>
      <c r="AK122" t="s">
        <v>1280</v>
      </c>
      <c r="BA122" t="s">
        <v>1282</v>
      </c>
      <c r="BB122" t="b">
        <v>1</v>
      </c>
      <c r="BF122" t="s">
        <v>1745</v>
      </c>
    </row>
    <row r="123" spans="1:58" x14ac:dyDescent="0.2">
      <c r="A123" t="s">
        <v>1174</v>
      </c>
      <c r="C123" t="s">
        <v>22</v>
      </c>
      <c r="D123" s="1">
        <v>44998.688194444447</v>
      </c>
      <c r="E123">
        <v>5</v>
      </c>
      <c r="F123" t="str">
        <f t="shared" si="1"/>
        <v>NONE</v>
      </c>
      <c r="G123">
        <v>0</v>
      </c>
      <c r="H123" t="s">
        <v>23</v>
      </c>
      <c r="I123">
        <v>5</v>
      </c>
      <c r="J123">
        <v>0</v>
      </c>
      <c r="K123">
        <v>0.45</v>
      </c>
      <c r="L123">
        <v>0</v>
      </c>
      <c r="M123" t="s">
        <v>23</v>
      </c>
      <c r="N123" t="s">
        <v>1274</v>
      </c>
      <c r="O123" t="s">
        <v>24</v>
      </c>
      <c r="P123" t="s">
        <v>710</v>
      </c>
      <c r="Q123" t="s">
        <v>1175</v>
      </c>
      <c r="S123" t="s">
        <v>330</v>
      </c>
      <c r="T123" t="b">
        <v>1</v>
      </c>
      <c r="U123" t="s">
        <v>1176</v>
      </c>
      <c r="V123">
        <v>7096</v>
      </c>
      <c r="W123" t="s">
        <v>1275</v>
      </c>
      <c r="X123" t="s">
        <v>1307</v>
      </c>
      <c r="Y123">
        <v>11</v>
      </c>
      <c r="Z123">
        <v>2026</v>
      </c>
      <c r="AA123" t="s">
        <v>1746</v>
      </c>
      <c r="AF123" t="s">
        <v>1278</v>
      </c>
      <c r="AG123">
        <v>38655</v>
      </c>
      <c r="AH123" t="s">
        <v>1278</v>
      </c>
      <c r="AI123" t="s">
        <v>1747</v>
      </c>
      <c r="AJ123" t="s">
        <v>1280</v>
      </c>
      <c r="AK123" t="s">
        <v>1280</v>
      </c>
      <c r="BA123" t="s">
        <v>1282</v>
      </c>
      <c r="BB123" t="b">
        <v>0</v>
      </c>
      <c r="BF123" t="s">
        <v>1748</v>
      </c>
    </row>
    <row r="124" spans="1:58" x14ac:dyDescent="0.2">
      <c r="A124" t="s">
        <v>1177</v>
      </c>
      <c r="C124" t="s">
        <v>22</v>
      </c>
      <c r="D124" s="1">
        <v>44998.686111111114</v>
      </c>
      <c r="E124">
        <v>4</v>
      </c>
      <c r="F124" t="str">
        <f t="shared" si="1"/>
        <v>ROTOWIRE</v>
      </c>
      <c r="G124">
        <v>0</v>
      </c>
      <c r="H124" t="s">
        <v>23</v>
      </c>
      <c r="I124">
        <v>4</v>
      </c>
      <c r="J124">
        <v>0</v>
      </c>
      <c r="K124">
        <v>0.42</v>
      </c>
      <c r="L124">
        <v>0</v>
      </c>
      <c r="M124" t="s">
        <v>23</v>
      </c>
      <c r="N124" t="s">
        <v>1274</v>
      </c>
      <c r="O124" t="s">
        <v>24</v>
      </c>
      <c r="P124" t="s">
        <v>710</v>
      </c>
      <c r="Q124" t="s">
        <v>1178</v>
      </c>
      <c r="S124" t="s">
        <v>1179</v>
      </c>
      <c r="T124" t="b">
        <v>1</v>
      </c>
      <c r="U124" t="s">
        <v>1180</v>
      </c>
      <c r="V124">
        <v>7668</v>
      </c>
      <c r="W124" t="s">
        <v>1284</v>
      </c>
      <c r="X124" t="s">
        <v>1276</v>
      </c>
      <c r="Y124">
        <v>3</v>
      </c>
      <c r="Z124">
        <v>2028</v>
      </c>
      <c r="AA124" t="s">
        <v>1749</v>
      </c>
      <c r="AF124" t="s">
        <v>1278</v>
      </c>
      <c r="AG124">
        <v>32506</v>
      </c>
      <c r="AH124" t="s">
        <v>1278</v>
      </c>
      <c r="AI124" t="s">
        <v>1750</v>
      </c>
      <c r="AJ124" t="s">
        <v>1280</v>
      </c>
      <c r="AK124" t="s">
        <v>1280</v>
      </c>
      <c r="BA124" t="s">
        <v>1282</v>
      </c>
      <c r="BB124" t="b">
        <v>1</v>
      </c>
      <c r="BF124" t="s">
        <v>1751</v>
      </c>
    </row>
    <row r="125" spans="1:58" x14ac:dyDescent="0.2">
      <c r="A125" t="s">
        <v>1181</v>
      </c>
      <c r="C125" t="s">
        <v>22</v>
      </c>
      <c r="D125" s="1">
        <v>44998.663888888892</v>
      </c>
      <c r="E125">
        <v>5</v>
      </c>
      <c r="F125" t="str">
        <f t="shared" si="1"/>
        <v>NONE</v>
      </c>
      <c r="G125">
        <v>0</v>
      </c>
      <c r="H125" t="s">
        <v>23</v>
      </c>
      <c r="I125">
        <v>5</v>
      </c>
      <c r="J125">
        <v>0</v>
      </c>
      <c r="K125">
        <v>0.45</v>
      </c>
      <c r="L125">
        <v>0</v>
      </c>
      <c r="M125" t="s">
        <v>23</v>
      </c>
      <c r="N125" t="s">
        <v>1274</v>
      </c>
      <c r="O125" t="s">
        <v>24</v>
      </c>
      <c r="P125" t="s">
        <v>710</v>
      </c>
      <c r="Q125" t="s">
        <v>1182</v>
      </c>
      <c r="S125" t="s">
        <v>1183</v>
      </c>
      <c r="T125" t="b">
        <v>1</v>
      </c>
      <c r="U125" t="s">
        <v>1184</v>
      </c>
      <c r="V125">
        <v>138</v>
      </c>
      <c r="W125" t="s">
        <v>1275</v>
      </c>
      <c r="X125" t="s">
        <v>1549</v>
      </c>
      <c r="Y125">
        <v>2</v>
      </c>
      <c r="Z125">
        <v>2028</v>
      </c>
      <c r="AA125" t="s">
        <v>1752</v>
      </c>
      <c r="AF125" t="s">
        <v>1278</v>
      </c>
      <c r="AG125">
        <v>85085</v>
      </c>
      <c r="AH125" t="s">
        <v>1278</v>
      </c>
      <c r="AI125" t="s">
        <v>1753</v>
      </c>
      <c r="AJ125" t="s">
        <v>1280</v>
      </c>
      <c r="AK125" t="s">
        <v>1280</v>
      </c>
      <c r="BA125" t="s">
        <v>1282</v>
      </c>
      <c r="BB125" t="b">
        <v>1</v>
      </c>
      <c r="BF125" t="s">
        <v>1754</v>
      </c>
    </row>
    <row r="126" spans="1:58" x14ac:dyDescent="0.2">
      <c r="A126" t="s">
        <v>1185</v>
      </c>
      <c r="C126" t="s">
        <v>22</v>
      </c>
      <c r="D126" s="1">
        <v>44998.607638888891</v>
      </c>
      <c r="E126">
        <v>5</v>
      </c>
      <c r="F126" t="str">
        <f t="shared" si="1"/>
        <v>NONE</v>
      </c>
      <c r="G126">
        <v>0</v>
      </c>
      <c r="H126" t="s">
        <v>23</v>
      </c>
      <c r="I126">
        <v>5</v>
      </c>
      <c r="J126">
        <v>0</v>
      </c>
      <c r="K126">
        <v>0.45</v>
      </c>
      <c r="L126">
        <v>0</v>
      </c>
      <c r="M126" t="s">
        <v>23</v>
      </c>
      <c r="N126" t="s">
        <v>1274</v>
      </c>
      <c r="O126" t="s">
        <v>24</v>
      </c>
      <c r="P126" t="s">
        <v>710</v>
      </c>
      <c r="Q126" t="s">
        <v>1186</v>
      </c>
      <c r="S126" t="s">
        <v>1187</v>
      </c>
      <c r="T126" t="b">
        <v>1</v>
      </c>
      <c r="U126" t="s">
        <v>1188</v>
      </c>
      <c r="V126">
        <v>1076</v>
      </c>
      <c r="W126" t="s">
        <v>1284</v>
      </c>
      <c r="X126" t="s">
        <v>1276</v>
      </c>
      <c r="Y126">
        <v>7</v>
      </c>
      <c r="Z126">
        <v>2024</v>
      </c>
      <c r="AA126" t="s">
        <v>1755</v>
      </c>
      <c r="AF126" t="s">
        <v>1278</v>
      </c>
      <c r="AG126">
        <v>93427</v>
      </c>
      <c r="AH126" t="s">
        <v>1278</v>
      </c>
      <c r="AI126" t="s">
        <v>1756</v>
      </c>
      <c r="AK126" t="s">
        <v>1280</v>
      </c>
      <c r="BA126" t="s">
        <v>1282</v>
      </c>
      <c r="BB126" t="b">
        <v>1</v>
      </c>
      <c r="BF126" t="s">
        <v>1757</v>
      </c>
    </row>
    <row r="127" spans="1:58" x14ac:dyDescent="0.2">
      <c r="A127" t="s">
        <v>1189</v>
      </c>
      <c r="C127" t="s">
        <v>22</v>
      </c>
      <c r="D127" s="1">
        <v>44998.599305555559</v>
      </c>
      <c r="E127">
        <v>5</v>
      </c>
      <c r="F127" t="str">
        <f t="shared" si="1"/>
        <v>NONE</v>
      </c>
      <c r="G127">
        <v>0</v>
      </c>
      <c r="H127" t="s">
        <v>23</v>
      </c>
      <c r="I127">
        <v>5</v>
      </c>
      <c r="J127">
        <v>0</v>
      </c>
      <c r="K127">
        <v>0.45</v>
      </c>
      <c r="L127">
        <v>0</v>
      </c>
      <c r="M127" t="s">
        <v>23</v>
      </c>
      <c r="N127" t="s">
        <v>1274</v>
      </c>
      <c r="O127" t="s">
        <v>24</v>
      </c>
      <c r="P127" t="s">
        <v>710</v>
      </c>
      <c r="Q127" t="s">
        <v>1190</v>
      </c>
      <c r="S127" t="s">
        <v>1191</v>
      </c>
      <c r="T127" t="b">
        <v>1</v>
      </c>
      <c r="U127" t="s">
        <v>1192</v>
      </c>
      <c r="V127">
        <v>3413</v>
      </c>
      <c r="W127" t="s">
        <v>1275</v>
      </c>
      <c r="X127" t="s">
        <v>1276</v>
      </c>
      <c r="Y127">
        <v>2</v>
      </c>
      <c r="Z127">
        <v>2025</v>
      </c>
      <c r="AA127" t="s">
        <v>1758</v>
      </c>
      <c r="AF127" t="s">
        <v>1316</v>
      </c>
      <c r="AH127" t="s">
        <v>1278</v>
      </c>
      <c r="AI127" t="s">
        <v>1759</v>
      </c>
      <c r="AJ127" t="s">
        <v>1280</v>
      </c>
      <c r="BA127" t="s">
        <v>1282</v>
      </c>
      <c r="BB127" t="b">
        <v>0</v>
      </c>
      <c r="BF127" t="s">
        <v>1760</v>
      </c>
    </row>
    <row r="128" spans="1:58" x14ac:dyDescent="0.2">
      <c r="A128" t="s">
        <v>1193</v>
      </c>
      <c r="C128" t="s">
        <v>22</v>
      </c>
      <c r="D128" s="1">
        <v>44998.598611111112</v>
      </c>
      <c r="E128">
        <v>4</v>
      </c>
      <c r="F128" t="str">
        <f t="shared" si="1"/>
        <v>ROTOWIRE</v>
      </c>
      <c r="G128">
        <v>0</v>
      </c>
      <c r="H128" t="s">
        <v>23</v>
      </c>
      <c r="I128">
        <v>4</v>
      </c>
      <c r="J128">
        <v>0</v>
      </c>
      <c r="K128">
        <v>0.42</v>
      </c>
      <c r="L128">
        <v>0</v>
      </c>
      <c r="M128" t="s">
        <v>23</v>
      </c>
      <c r="N128" t="s">
        <v>1274</v>
      </c>
      <c r="O128" t="s">
        <v>24</v>
      </c>
      <c r="P128" t="s">
        <v>710</v>
      </c>
      <c r="Q128" t="s">
        <v>1194</v>
      </c>
      <c r="S128" t="s">
        <v>1195</v>
      </c>
      <c r="T128" t="b">
        <v>1</v>
      </c>
      <c r="U128" t="s">
        <v>1196</v>
      </c>
      <c r="V128">
        <v>8899</v>
      </c>
      <c r="W128" t="s">
        <v>1275</v>
      </c>
      <c r="X128" t="s">
        <v>1307</v>
      </c>
      <c r="Y128">
        <v>12</v>
      </c>
      <c r="Z128">
        <v>2024</v>
      </c>
      <c r="AA128" t="s">
        <v>1761</v>
      </c>
      <c r="AF128" t="s">
        <v>1278</v>
      </c>
      <c r="AG128">
        <v>55077</v>
      </c>
      <c r="AH128" t="s">
        <v>1278</v>
      </c>
      <c r="AI128" t="s">
        <v>1762</v>
      </c>
      <c r="AJ128" t="s">
        <v>1280</v>
      </c>
      <c r="AK128" t="s">
        <v>1280</v>
      </c>
      <c r="BA128" t="s">
        <v>1282</v>
      </c>
      <c r="BB128" t="b">
        <v>0</v>
      </c>
      <c r="BF128" t="s">
        <v>1763</v>
      </c>
    </row>
    <row r="129" spans="1:58" x14ac:dyDescent="0.2">
      <c r="A129" t="s">
        <v>1197</v>
      </c>
      <c r="C129" t="s">
        <v>22</v>
      </c>
      <c r="D129" s="1">
        <v>44998.581944444442</v>
      </c>
      <c r="E129">
        <v>4</v>
      </c>
      <c r="F129" t="str">
        <f t="shared" ref="F129:F138" si="2">IF(E129=3.75,"EMAIL",IF(E129=4,"ROTOWIRE","NONE"))</f>
        <v>ROTOWIRE</v>
      </c>
      <c r="G129">
        <v>0</v>
      </c>
      <c r="H129" t="s">
        <v>23</v>
      </c>
      <c r="I129">
        <v>4</v>
      </c>
      <c r="J129">
        <v>0</v>
      </c>
      <c r="K129">
        <v>0.42</v>
      </c>
      <c r="L129">
        <v>0</v>
      </c>
      <c r="M129" t="s">
        <v>23</v>
      </c>
      <c r="N129" t="s">
        <v>1274</v>
      </c>
      <c r="O129" t="s">
        <v>24</v>
      </c>
      <c r="P129" t="s">
        <v>710</v>
      </c>
      <c r="Q129" t="s">
        <v>1198</v>
      </c>
      <c r="S129" t="s">
        <v>1199</v>
      </c>
      <c r="T129" t="b">
        <v>1</v>
      </c>
      <c r="U129" t="s">
        <v>1200</v>
      </c>
      <c r="V129">
        <v>3519</v>
      </c>
      <c r="W129" t="s">
        <v>1275</v>
      </c>
      <c r="X129" t="s">
        <v>1276</v>
      </c>
      <c r="Y129">
        <v>8</v>
      </c>
      <c r="Z129">
        <v>2025</v>
      </c>
      <c r="AA129" t="s">
        <v>1764</v>
      </c>
      <c r="AF129" t="s">
        <v>1278</v>
      </c>
      <c r="AG129">
        <v>46567</v>
      </c>
      <c r="AH129" t="s">
        <v>1278</v>
      </c>
      <c r="AI129" t="s">
        <v>1765</v>
      </c>
      <c r="AJ129" t="s">
        <v>1280</v>
      </c>
      <c r="AK129" t="s">
        <v>1280</v>
      </c>
      <c r="BA129" t="s">
        <v>1282</v>
      </c>
      <c r="BB129" t="b">
        <v>0</v>
      </c>
      <c r="BF129" t="s">
        <v>1766</v>
      </c>
    </row>
    <row r="130" spans="1:58" x14ac:dyDescent="0.2">
      <c r="A130" t="s">
        <v>1201</v>
      </c>
      <c r="C130" t="s">
        <v>22</v>
      </c>
      <c r="D130" s="1">
        <v>44998.429166666669</v>
      </c>
      <c r="E130">
        <v>5</v>
      </c>
      <c r="F130" t="str">
        <f t="shared" si="2"/>
        <v>NONE</v>
      </c>
      <c r="G130">
        <v>0</v>
      </c>
      <c r="H130" t="s">
        <v>23</v>
      </c>
      <c r="I130">
        <v>5</v>
      </c>
      <c r="J130">
        <v>0</v>
      </c>
      <c r="K130">
        <v>0.45</v>
      </c>
      <c r="L130">
        <v>0</v>
      </c>
      <c r="M130" t="s">
        <v>23</v>
      </c>
      <c r="N130" t="s">
        <v>1274</v>
      </c>
      <c r="O130" t="s">
        <v>24</v>
      </c>
      <c r="P130" t="s">
        <v>710</v>
      </c>
      <c r="Q130" t="s">
        <v>1202</v>
      </c>
      <c r="S130" t="s">
        <v>1203</v>
      </c>
      <c r="T130" t="b">
        <v>1</v>
      </c>
      <c r="U130" t="s">
        <v>1204</v>
      </c>
      <c r="V130">
        <v>6447</v>
      </c>
      <c r="W130" t="s">
        <v>1275</v>
      </c>
      <c r="X130" t="s">
        <v>1276</v>
      </c>
      <c r="Y130">
        <v>12</v>
      </c>
      <c r="Z130">
        <v>2023</v>
      </c>
      <c r="AA130" t="s">
        <v>1767</v>
      </c>
      <c r="AB130" t="s">
        <v>1768</v>
      </c>
      <c r="AD130" t="s">
        <v>1769</v>
      </c>
      <c r="AE130" t="s">
        <v>1447</v>
      </c>
      <c r="AF130" t="s">
        <v>1278</v>
      </c>
      <c r="AG130">
        <v>32174</v>
      </c>
      <c r="AH130" t="s">
        <v>1278</v>
      </c>
      <c r="AI130" t="s">
        <v>1770</v>
      </c>
      <c r="AK130" t="s">
        <v>1280</v>
      </c>
      <c r="AL130" t="s">
        <v>1280</v>
      </c>
      <c r="AM130" t="s">
        <v>1299</v>
      </c>
      <c r="BA130" t="s">
        <v>1282</v>
      </c>
      <c r="BB130" t="b">
        <v>0</v>
      </c>
      <c r="BF130" t="s">
        <v>1771</v>
      </c>
    </row>
    <row r="131" spans="1:58" x14ac:dyDescent="0.2">
      <c r="A131" t="s">
        <v>1205</v>
      </c>
      <c r="C131" t="s">
        <v>22</v>
      </c>
      <c r="D131" s="1">
        <v>44998.043749999997</v>
      </c>
      <c r="E131">
        <v>5</v>
      </c>
      <c r="F131" t="str">
        <f t="shared" si="2"/>
        <v>NONE</v>
      </c>
      <c r="G131">
        <v>0</v>
      </c>
      <c r="H131" t="s">
        <v>23</v>
      </c>
      <c r="I131">
        <v>5</v>
      </c>
      <c r="J131">
        <v>0</v>
      </c>
      <c r="K131">
        <v>0.45</v>
      </c>
      <c r="L131">
        <v>0</v>
      </c>
      <c r="M131" t="s">
        <v>23</v>
      </c>
      <c r="N131" t="s">
        <v>1274</v>
      </c>
      <c r="O131" t="s">
        <v>24</v>
      </c>
      <c r="P131" t="s">
        <v>710</v>
      </c>
      <c r="Q131" t="s">
        <v>1206</v>
      </c>
      <c r="S131" t="s">
        <v>1207</v>
      </c>
      <c r="T131" t="b">
        <v>1</v>
      </c>
      <c r="U131" t="s">
        <v>1208</v>
      </c>
      <c r="V131">
        <v>3647</v>
      </c>
      <c r="W131" t="s">
        <v>1275</v>
      </c>
      <c r="X131" t="s">
        <v>1307</v>
      </c>
      <c r="Y131">
        <v>1</v>
      </c>
      <c r="Z131">
        <v>2024</v>
      </c>
      <c r="AA131" t="s">
        <v>1772</v>
      </c>
      <c r="AF131" t="s">
        <v>1278</v>
      </c>
      <c r="AG131">
        <v>19020</v>
      </c>
      <c r="AH131" t="s">
        <v>1278</v>
      </c>
      <c r="AI131" t="s">
        <v>1773</v>
      </c>
      <c r="AJ131" t="s">
        <v>1280</v>
      </c>
      <c r="AK131" t="s">
        <v>1280</v>
      </c>
      <c r="BA131" t="s">
        <v>1282</v>
      </c>
      <c r="BB131" t="b">
        <v>1</v>
      </c>
      <c r="BF131" t="s">
        <v>1774</v>
      </c>
    </row>
    <row r="132" spans="1:58" x14ac:dyDescent="0.2">
      <c r="A132" t="s">
        <v>1209</v>
      </c>
      <c r="C132" t="s">
        <v>22</v>
      </c>
      <c r="D132" s="1">
        <v>44998.034722222219</v>
      </c>
      <c r="E132">
        <v>5</v>
      </c>
      <c r="F132" t="str">
        <f t="shared" si="2"/>
        <v>NONE</v>
      </c>
      <c r="G132">
        <v>0</v>
      </c>
      <c r="H132" t="s">
        <v>23</v>
      </c>
      <c r="I132">
        <v>5</v>
      </c>
      <c r="J132">
        <v>0</v>
      </c>
      <c r="K132">
        <v>0.45</v>
      </c>
      <c r="L132">
        <v>0</v>
      </c>
      <c r="M132" t="s">
        <v>23</v>
      </c>
      <c r="N132" t="s">
        <v>1274</v>
      </c>
      <c r="O132" t="s">
        <v>24</v>
      </c>
      <c r="P132" t="s">
        <v>710</v>
      </c>
      <c r="Q132" t="s">
        <v>1210</v>
      </c>
      <c r="S132" t="s">
        <v>1211</v>
      </c>
      <c r="T132" t="b">
        <v>1</v>
      </c>
      <c r="U132" t="s">
        <v>1212</v>
      </c>
      <c r="V132">
        <v>2197</v>
      </c>
      <c r="W132" t="s">
        <v>1275</v>
      </c>
      <c r="X132" t="s">
        <v>1276</v>
      </c>
      <c r="Y132">
        <v>12</v>
      </c>
      <c r="Z132">
        <v>2023</v>
      </c>
      <c r="AA132" t="s">
        <v>1775</v>
      </c>
      <c r="AB132" t="s">
        <v>1776</v>
      </c>
      <c r="AD132" t="s">
        <v>1777</v>
      </c>
      <c r="AE132" t="s">
        <v>1401</v>
      </c>
      <c r="AF132" t="s">
        <v>1278</v>
      </c>
      <c r="AG132">
        <v>49024</v>
      </c>
      <c r="AH132" t="s">
        <v>1278</v>
      </c>
      <c r="AI132" t="s">
        <v>1778</v>
      </c>
      <c r="AK132" t="s">
        <v>1280</v>
      </c>
      <c r="AL132" t="s">
        <v>1280</v>
      </c>
      <c r="AM132" t="s">
        <v>1299</v>
      </c>
      <c r="BA132" t="s">
        <v>1282</v>
      </c>
      <c r="BB132" t="b">
        <v>0</v>
      </c>
      <c r="BF132" t="s">
        <v>1779</v>
      </c>
    </row>
    <row r="133" spans="1:58" x14ac:dyDescent="0.2">
      <c r="A133" t="s">
        <v>1213</v>
      </c>
      <c r="C133" t="s">
        <v>22</v>
      </c>
      <c r="D133" s="1">
        <v>44998.013888888891</v>
      </c>
      <c r="E133">
        <v>5</v>
      </c>
      <c r="F133" t="str">
        <f t="shared" si="2"/>
        <v>NONE</v>
      </c>
      <c r="G133">
        <v>0</v>
      </c>
      <c r="H133" t="s">
        <v>23</v>
      </c>
      <c r="I133">
        <v>5</v>
      </c>
      <c r="J133">
        <v>0</v>
      </c>
      <c r="K133">
        <v>0.45</v>
      </c>
      <c r="L133">
        <v>0</v>
      </c>
      <c r="M133" t="s">
        <v>23</v>
      </c>
      <c r="N133" t="s">
        <v>1274</v>
      </c>
      <c r="O133" t="s">
        <v>24</v>
      </c>
      <c r="P133" t="s">
        <v>710</v>
      </c>
      <c r="Q133" t="s">
        <v>1214</v>
      </c>
      <c r="S133" t="s">
        <v>1215</v>
      </c>
      <c r="T133" t="b">
        <v>1</v>
      </c>
      <c r="U133" t="s">
        <v>1216</v>
      </c>
      <c r="V133">
        <v>7439</v>
      </c>
      <c r="W133" t="s">
        <v>1284</v>
      </c>
      <c r="X133" t="s">
        <v>1276</v>
      </c>
      <c r="Y133">
        <v>5</v>
      </c>
      <c r="Z133">
        <v>2024</v>
      </c>
      <c r="AA133" t="s">
        <v>1780</v>
      </c>
      <c r="AB133" t="s">
        <v>1781</v>
      </c>
      <c r="AD133" t="s">
        <v>1782</v>
      </c>
      <c r="AE133" t="s">
        <v>1338</v>
      </c>
      <c r="AF133" t="s">
        <v>1278</v>
      </c>
      <c r="AG133">
        <v>76226</v>
      </c>
      <c r="AH133" t="s">
        <v>1278</v>
      </c>
      <c r="AI133" t="s">
        <v>1783</v>
      </c>
      <c r="AK133" t="s">
        <v>1280</v>
      </c>
      <c r="AL133" t="s">
        <v>1280</v>
      </c>
      <c r="AM133" t="s">
        <v>1351</v>
      </c>
      <c r="BA133" t="s">
        <v>1282</v>
      </c>
      <c r="BB133" t="b">
        <v>0</v>
      </c>
      <c r="BF133" t="s">
        <v>1784</v>
      </c>
    </row>
    <row r="134" spans="1:58" x14ac:dyDescent="0.2">
      <c r="A134" t="s">
        <v>1217</v>
      </c>
      <c r="C134" t="s">
        <v>22</v>
      </c>
      <c r="D134" s="1">
        <v>44997.789583333331</v>
      </c>
      <c r="E134">
        <v>5</v>
      </c>
      <c r="F134" t="str">
        <f t="shared" si="2"/>
        <v>NONE</v>
      </c>
      <c r="G134">
        <v>0</v>
      </c>
      <c r="H134" t="s">
        <v>23</v>
      </c>
      <c r="I134">
        <v>5</v>
      </c>
      <c r="J134">
        <v>0</v>
      </c>
      <c r="K134">
        <v>0.45</v>
      </c>
      <c r="L134">
        <v>0</v>
      </c>
      <c r="M134" t="s">
        <v>23</v>
      </c>
      <c r="N134" t="s">
        <v>1274</v>
      </c>
      <c r="O134" t="s">
        <v>24</v>
      </c>
      <c r="P134" t="s">
        <v>710</v>
      </c>
      <c r="Q134" t="s">
        <v>1218</v>
      </c>
      <c r="S134" t="s">
        <v>1219</v>
      </c>
      <c r="T134" t="b">
        <v>1</v>
      </c>
      <c r="U134" t="s">
        <v>1220</v>
      </c>
      <c r="V134">
        <v>5417</v>
      </c>
      <c r="W134" t="s">
        <v>1275</v>
      </c>
      <c r="X134" t="s">
        <v>1276</v>
      </c>
      <c r="Y134">
        <v>11</v>
      </c>
      <c r="Z134">
        <v>2023</v>
      </c>
      <c r="AA134" t="s">
        <v>1785</v>
      </c>
      <c r="AF134" t="s">
        <v>1278</v>
      </c>
      <c r="AG134">
        <v>97701</v>
      </c>
      <c r="AH134" t="s">
        <v>1278</v>
      </c>
      <c r="AI134" t="s">
        <v>1786</v>
      </c>
      <c r="AJ134" t="s">
        <v>1280</v>
      </c>
      <c r="AK134" t="s">
        <v>1280</v>
      </c>
      <c r="BA134" t="s">
        <v>1282</v>
      </c>
      <c r="BB134" t="b">
        <v>1</v>
      </c>
      <c r="BF134" t="s">
        <v>1787</v>
      </c>
    </row>
    <row r="135" spans="1:58" x14ac:dyDescent="0.2">
      <c r="A135" t="s">
        <v>1221</v>
      </c>
      <c r="C135" t="s">
        <v>22</v>
      </c>
      <c r="D135" s="1">
        <v>44997.785416666666</v>
      </c>
      <c r="E135">
        <v>5</v>
      </c>
      <c r="F135" t="str">
        <f t="shared" si="2"/>
        <v>NONE</v>
      </c>
      <c r="G135">
        <v>0</v>
      </c>
      <c r="H135" t="s">
        <v>23</v>
      </c>
      <c r="I135">
        <v>5</v>
      </c>
      <c r="J135">
        <v>0</v>
      </c>
      <c r="K135">
        <v>0.45</v>
      </c>
      <c r="L135">
        <v>0</v>
      </c>
      <c r="M135" t="s">
        <v>23</v>
      </c>
      <c r="N135" t="s">
        <v>1274</v>
      </c>
      <c r="O135" t="s">
        <v>24</v>
      </c>
      <c r="P135" t="s">
        <v>710</v>
      </c>
      <c r="Q135" t="s">
        <v>1222</v>
      </c>
      <c r="S135" t="s">
        <v>1223</v>
      </c>
      <c r="T135" t="b">
        <v>1</v>
      </c>
      <c r="U135" t="s">
        <v>1224</v>
      </c>
      <c r="V135">
        <v>9001</v>
      </c>
      <c r="W135" t="s">
        <v>1331</v>
      </c>
      <c r="X135" t="s">
        <v>1276</v>
      </c>
      <c r="Y135">
        <v>1</v>
      </c>
      <c r="Z135">
        <v>2027</v>
      </c>
      <c r="AA135" t="s">
        <v>1788</v>
      </c>
      <c r="AF135" t="s">
        <v>1278</v>
      </c>
      <c r="AG135">
        <v>60010</v>
      </c>
      <c r="AH135" t="s">
        <v>1278</v>
      </c>
      <c r="AI135" t="s">
        <v>1789</v>
      </c>
      <c r="AJ135" t="s">
        <v>1280</v>
      </c>
      <c r="AK135" t="s">
        <v>1280</v>
      </c>
      <c r="BA135" t="s">
        <v>1282</v>
      </c>
      <c r="BB135" t="b">
        <v>0</v>
      </c>
      <c r="BF135" t="s">
        <v>1790</v>
      </c>
    </row>
    <row r="136" spans="1:58" x14ac:dyDescent="0.2">
      <c r="A136" t="s">
        <v>1225</v>
      </c>
      <c r="C136" t="s">
        <v>22</v>
      </c>
      <c r="D136" s="1">
        <v>44996.779166666667</v>
      </c>
      <c r="E136">
        <v>5</v>
      </c>
      <c r="F136" t="str">
        <f t="shared" si="2"/>
        <v>NONE</v>
      </c>
      <c r="G136">
        <v>0</v>
      </c>
      <c r="H136" t="s">
        <v>23</v>
      </c>
      <c r="I136">
        <v>5</v>
      </c>
      <c r="J136">
        <v>0</v>
      </c>
      <c r="K136">
        <v>0.45</v>
      </c>
      <c r="L136">
        <v>0</v>
      </c>
      <c r="M136" t="s">
        <v>23</v>
      </c>
      <c r="N136" t="s">
        <v>1274</v>
      </c>
      <c r="O136" t="s">
        <v>24</v>
      </c>
      <c r="P136" t="s">
        <v>710</v>
      </c>
      <c r="Q136" t="s">
        <v>1226</v>
      </c>
      <c r="S136" t="s">
        <v>1227</v>
      </c>
      <c r="T136" t="b">
        <v>1</v>
      </c>
      <c r="U136" t="s">
        <v>1228</v>
      </c>
      <c r="V136">
        <v>2427</v>
      </c>
      <c r="W136" t="s">
        <v>1275</v>
      </c>
      <c r="X136" t="s">
        <v>1307</v>
      </c>
      <c r="Y136">
        <v>12</v>
      </c>
      <c r="Z136">
        <v>2026</v>
      </c>
      <c r="AA136" t="s">
        <v>1791</v>
      </c>
      <c r="AF136" t="s">
        <v>1278</v>
      </c>
      <c r="AG136">
        <v>80249</v>
      </c>
      <c r="AH136" t="s">
        <v>1278</v>
      </c>
      <c r="AI136" t="s">
        <v>1792</v>
      </c>
      <c r="AJ136" t="s">
        <v>1280</v>
      </c>
      <c r="AK136" t="s">
        <v>1280</v>
      </c>
      <c r="BA136" t="s">
        <v>1282</v>
      </c>
      <c r="BB136" t="b">
        <v>0</v>
      </c>
      <c r="BF136" t="s">
        <v>1793</v>
      </c>
    </row>
    <row r="137" spans="1:58" x14ac:dyDescent="0.2">
      <c r="A137" t="s">
        <v>1229</v>
      </c>
      <c r="C137" t="s">
        <v>22</v>
      </c>
      <c r="D137" s="1">
        <v>44995.805555555555</v>
      </c>
      <c r="E137">
        <v>5</v>
      </c>
      <c r="F137" t="str">
        <f t="shared" si="2"/>
        <v>NONE</v>
      </c>
      <c r="G137">
        <v>0</v>
      </c>
      <c r="H137" t="s">
        <v>23</v>
      </c>
      <c r="I137">
        <v>5</v>
      </c>
      <c r="J137">
        <v>0</v>
      </c>
      <c r="K137">
        <v>0.45</v>
      </c>
      <c r="L137">
        <v>0</v>
      </c>
      <c r="M137" t="s">
        <v>23</v>
      </c>
      <c r="N137" t="s">
        <v>1274</v>
      </c>
      <c r="O137" t="s">
        <v>24</v>
      </c>
      <c r="P137" t="s">
        <v>710</v>
      </c>
      <c r="Q137" t="s">
        <v>1230</v>
      </c>
      <c r="S137" t="s">
        <v>1231</v>
      </c>
      <c r="T137" t="b">
        <v>1</v>
      </c>
      <c r="U137" t="s">
        <v>1232</v>
      </c>
      <c r="V137">
        <v>8864</v>
      </c>
      <c r="W137" t="s">
        <v>1275</v>
      </c>
      <c r="X137" t="s">
        <v>1276</v>
      </c>
      <c r="Y137">
        <v>7</v>
      </c>
      <c r="Z137">
        <v>2027</v>
      </c>
      <c r="AA137" t="s">
        <v>1794</v>
      </c>
      <c r="AF137" t="s">
        <v>1278</v>
      </c>
      <c r="AG137">
        <v>77388</v>
      </c>
      <c r="AH137" t="s">
        <v>1278</v>
      </c>
      <c r="AI137" t="s">
        <v>1795</v>
      </c>
      <c r="AJ137" t="s">
        <v>1280</v>
      </c>
      <c r="AK137" t="s">
        <v>1280</v>
      </c>
      <c r="BA137" t="s">
        <v>1282</v>
      </c>
      <c r="BB137" t="b">
        <v>0</v>
      </c>
      <c r="BF137" t="s">
        <v>1796</v>
      </c>
    </row>
    <row r="138" spans="1:58" x14ac:dyDescent="0.2">
      <c r="A138" t="s">
        <v>1233</v>
      </c>
      <c r="C138" t="s">
        <v>22</v>
      </c>
      <c r="D138" s="1">
        <v>44992.05</v>
      </c>
      <c r="E138">
        <v>5</v>
      </c>
      <c r="F138" t="str">
        <f t="shared" si="2"/>
        <v>NONE</v>
      </c>
      <c r="G138">
        <v>0</v>
      </c>
      <c r="H138" t="s">
        <v>23</v>
      </c>
      <c r="I138">
        <v>5</v>
      </c>
      <c r="J138">
        <v>0</v>
      </c>
      <c r="K138">
        <v>0.45</v>
      </c>
      <c r="L138">
        <v>0</v>
      </c>
      <c r="M138" t="s">
        <v>23</v>
      </c>
      <c r="N138" t="s">
        <v>1274</v>
      </c>
      <c r="O138" t="s">
        <v>24</v>
      </c>
      <c r="P138" t="s">
        <v>710</v>
      </c>
      <c r="Q138" t="s">
        <v>1234</v>
      </c>
      <c r="S138" t="s">
        <v>1235</v>
      </c>
      <c r="T138" t="b">
        <v>1</v>
      </c>
      <c r="U138" t="s">
        <v>1236</v>
      </c>
      <c r="V138">
        <v>9936</v>
      </c>
      <c r="W138" t="s">
        <v>1275</v>
      </c>
      <c r="X138" t="s">
        <v>1276</v>
      </c>
      <c r="Y138">
        <v>4</v>
      </c>
      <c r="Z138">
        <v>2026</v>
      </c>
      <c r="AA138" t="s">
        <v>1797</v>
      </c>
      <c r="AF138" t="s">
        <v>1278</v>
      </c>
      <c r="AG138">
        <v>48067</v>
      </c>
      <c r="AH138" t="s">
        <v>1278</v>
      </c>
      <c r="AI138" t="s">
        <v>1798</v>
      </c>
      <c r="AJ138" t="s">
        <v>1280</v>
      </c>
      <c r="AK138" t="s">
        <v>1280</v>
      </c>
      <c r="BA138" t="s">
        <v>1282</v>
      </c>
      <c r="BB138" t="b">
        <v>0</v>
      </c>
      <c r="BF138" t="s">
        <v>1799</v>
      </c>
    </row>
  </sheetData>
  <autoFilter ref="A1:BF138" xr:uid="{414E4D65-D0F9-4525-ACD1-7C8BAE8EB0B6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workbookViewId="0">
      <selection activeCell="H7" sqref="H7"/>
    </sheetView>
  </sheetViews>
  <sheetFormatPr baseColWidth="10" defaultColWidth="8.83203125" defaultRowHeight="15" x14ac:dyDescent="0.2"/>
  <cols>
    <col min="1" max="1" width="30.6640625" bestFit="1" customWidth="1"/>
    <col min="2" max="2" width="12.5" bestFit="1" customWidth="1"/>
    <col min="3" max="3" width="17" bestFit="1" customWidth="1"/>
    <col min="4" max="4" width="14.5" bestFit="1" customWidth="1"/>
    <col min="5" max="5" width="7.5" bestFit="1" customWidth="1"/>
    <col min="6" max="6" width="16.1640625" bestFit="1" customWidth="1"/>
    <col min="7" max="7" width="8.33203125" bestFit="1" customWidth="1"/>
    <col min="8" max="8" width="14.1640625" bestFit="1" customWidth="1"/>
    <col min="9" max="9" width="16.6640625" bestFit="1" customWidth="1"/>
    <col min="10" max="10" width="25.5" bestFit="1" customWidth="1"/>
    <col min="11" max="11" width="4.83203125" bestFit="1" customWidth="1"/>
    <col min="12" max="12" width="3.6640625" bestFit="1" customWidth="1"/>
    <col min="13" max="13" width="17.5" bestFit="1" customWidth="1"/>
    <col min="14" max="14" width="5.83203125" bestFit="1" customWidth="1"/>
    <col min="15" max="15" width="18.6640625" bestFit="1" customWidth="1"/>
    <col min="16" max="16" width="20.83203125" bestFit="1" customWidth="1"/>
    <col min="17" max="17" width="19" bestFit="1" customWidth="1"/>
    <col min="18" max="18" width="37.1640625" bestFit="1" customWidth="1"/>
    <col min="19" max="19" width="8.5" bestFit="1" customWidth="1"/>
    <col min="20" max="20" width="31.83203125" bestFit="1" customWidth="1"/>
    <col min="21" max="21" width="9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 t="s">
        <v>416</v>
      </c>
      <c r="C2" t="s">
        <v>22</v>
      </c>
      <c r="D2" s="1">
        <v>44627.690972222219</v>
      </c>
      <c r="E2">
        <v>4</v>
      </c>
      <c r="F2">
        <v>0</v>
      </c>
      <c r="G2" t="s">
        <v>23</v>
      </c>
      <c r="H2" t="s">
        <v>422</v>
      </c>
      <c r="I2">
        <v>4</v>
      </c>
      <c r="J2">
        <v>0</v>
      </c>
      <c r="K2">
        <v>0.42</v>
      </c>
      <c r="L2">
        <v>0</v>
      </c>
      <c r="M2" t="s">
        <v>23</v>
      </c>
      <c r="N2" t="s">
        <v>24</v>
      </c>
      <c r="P2" t="s">
        <v>417</v>
      </c>
      <c r="R2" t="s">
        <v>418</v>
      </c>
      <c r="S2" t="b">
        <v>1</v>
      </c>
      <c r="T2" t="s">
        <v>419</v>
      </c>
    </row>
    <row r="3" spans="1:22" x14ac:dyDescent="0.2">
      <c r="A3" t="s">
        <v>412</v>
      </c>
      <c r="C3" t="s">
        <v>22</v>
      </c>
      <c r="D3" s="1">
        <v>44628.618055555555</v>
      </c>
      <c r="E3">
        <v>5</v>
      </c>
      <c r="F3">
        <v>0</v>
      </c>
      <c r="G3" t="s">
        <v>23</v>
      </c>
      <c r="I3">
        <v>5</v>
      </c>
      <c r="J3">
        <v>0</v>
      </c>
      <c r="K3">
        <v>0.45</v>
      </c>
      <c r="L3">
        <v>0</v>
      </c>
      <c r="M3" t="s">
        <v>23</v>
      </c>
      <c r="N3" t="s">
        <v>24</v>
      </c>
      <c r="P3" t="s">
        <v>413</v>
      </c>
      <c r="R3" t="s">
        <v>414</v>
      </c>
      <c r="S3" t="b">
        <v>1</v>
      </c>
      <c r="T3" t="s">
        <v>415</v>
      </c>
    </row>
    <row r="4" spans="1:22" x14ac:dyDescent="0.2">
      <c r="A4" t="s">
        <v>408</v>
      </c>
      <c r="C4" t="s">
        <v>22</v>
      </c>
      <c r="D4" s="1">
        <v>44631.793749999997</v>
      </c>
      <c r="E4">
        <v>5</v>
      </c>
      <c r="F4">
        <v>0</v>
      </c>
      <c r="G4" t="s">
        <v>23</v>
      </c>
      <c r="I4">
        <v>5</v>
      </c>
      <c r="J4">
        <v>0</v>
      </c>
      <c r="K4">
        <v>0.45</v>
      </c>
      <c r="L4">
        <v>0</v>
      </c>
      <c r="M4" t="s">
        <v>23</v>
      </c>
      <c r="N4" t="s">
        <v>24</v>
      </c>
      <c r="P4" t="s">
        <v>409</v>
      </c>
      <c r="R4" t="s">
        <v>410</v>
      </c>
      <c r="S4" t="b">
        <v>1</v>
      </c>
      <c r="T4" t="s">
        <v>411</v>
      </c>
    </row>
    <row r="5" spans="1:22" x14ac:dyDescent="0.2">
      <c r="A5" t="s">
        <v>404</v>
      </c>
      <c r="C5" t="s">
        <v>22</v>
      </c>
      <c r="D5" s="1">
        <v>44633.032638888886</v>
      </c>
      <c r="E5">
        <v>5</v>
      </c>
      <c r="F5">
        <v>0</v>
      </c>
      <c r="G5" t="s">
        <v>23</v>
      </c>
      <c r="I5">
        <v>5</v>
      </c>
      <c r="J5">
        <v>0</v>
      </c>
      <c r="K5">
        <v>0.45</v>
      </c>
      <c r="L5">
        <v>0</v>
      </c>
      <c r="M5" t="s">
        <v>23</v>
      </c>
      <c r="N5" t="s">
        <v>24</v>
      </c>
      <c r="P5" t="s">
        <v>405</v>
      </c>
      <c r="R5" t="s">
        <v>406</v>
      </c>
      <c r="S5" t="b">
        <v>1</v>
      </c>
      <c r="T5" t="s">
        <v>407</v>
      </c>
    </row>
    <row r="6" spans="1:22" x14ac:dyDescent="0.2">
      <c r="A6" t="s">
        <v>400</v>
      </c>
      <c r="C6" t="s">
        <v>22</v>
      </c>
      <c r="D6" s="1">
        <v>44633.855555555558</v>
      </c>
      <c r="E6">
        <v>5</v>
      </c>
      <c r="F6">
        <v>0</v>
      </c>
      <c r="G6" t="s">
        <v>23</v>
      </c>
      <c r="I6">
        <v>5</v>
      </c>
      <c r="J6">
        <v>0</v>
      </c>
      <c r="K6">
        <v>0.45</v>
      </c>
      <c r="L6">
        <v>0</v>
      </c>
      <c r="M6" t="s">
        <v>23</v>
      </c>
      <c r="N6" t="s">
        <v>24</v>
      </c>
      <c r="P6" t="s">
        <v>401</v>
      </c>
      <c r="R6" t="s">
        <v>402</v>
      </c>
      <c r="S6" t="b">
        <v>1</v>
      </c>
      <c r="T6" t="s">
        <v>403</v>
      </c>
    </row>
    <row r="7" spans="1:22" x14ac:dyDescent="0.2">
      <c r="A7" t="s">
        <v>396</v>
      </c>
      <c r="C7" t="s">
        <v>22</v>
      </c>
      <c r="D7" s="1">
        <v>44633.861111111109</v>
      </c>
      <c r="E7">
        <v>5</v>
      </c>
      <c r="F7">
        <v>0</v>
      </c>
      <c r="G7" t="s">
        <v>23</v>
      </c>
      <c r="I7">
        <v>5</v>
      </c>
      <c r="J7">
        <v>0</v>
      </c>
      <c r="K7">
        <v>0.45</v>
      </c>
      <c r="L7">
        <v>0</v>
      </c>
      <c r="M7" t="s">
        <v>23</v>
      </c>
      <c r="N7" t="s">
        <v>24</v>
      </c>
      <c r="P7" t="s">
        <v>397</v>
      </c>
      <c r="R7" t="s">
        <v>398</v>
      </c>
      <c r="S7" t="b">
        <v>1</v>
      </c>
      <c r="T7" t="s">
        <v>399</v>
      </c>
    </row>
    <row r="8" spans="1:22" x14ac:dyDescent="0.2">
      <c r="A8" t="s">
        <v>392</v>
      </c>
      <c r="C8" t="s">
        <v>22</v>
      </c>
      <c r="D8" s="1">
        <v>44634.088194444441</v>
      </c>
      <c r="E8">
        <v>5</v>
      </c>
      <c r="F8">
        <v>0</v>
      </c>
      <c r="G8" t="s">
        <v>23</v>
      </c>
      <c r="I8">
        <v>5</v>
      </c>
      <c r="J8">
        <v>0</v>
      </c>
      <c r="K8">
        <v>0.45</v>
      </c>
      <c r="L8">
        <v>0</v>
      </c>
      <c r="M8" t="s">
        <v>23</v>
      </c>
      <c r="N8" t="s">
        <v>24</v>
      </c>
      <c r="P8" t="s">
        <v>393</v>
      </c>
      <c r="R8" t="s">
        <v>394</v>
      </c>
      <c r="S8" t="b">
        <v>1</v>
      </c>
      <c r="T8" t="s">
        <v>395</v>
      </c>
    </row>
    <row r="9" spans="1:22" x14ac:dyDescent="0.2">
      <c r="A9" t="s">
        <v>388</v>
      </c>
      <c r="C9" t="s">
        <v>22</v>
      </c>
      <c r="D9" s="1">
        <v>44634.111805555556</v>
      </c>
      <c r="E9">
        <v>5</v>
      </c>
      <c r="F9">
        <v>0</v>
      </c>
      <c r="G9" t="s">
        <v>23</v>
      </c>
      <c r="I9">
        <v>5</v>
      </c>
      <c r="J9">
        <v>0</v>
      </c>
      <c r="K9">
        <v>0.45</v>
      </c>
      <c r="L9">
        <v>0</v>
      </c>
      <c r="M9" t="s">
        <v>23</v>
      </c>
      <c r="N9" t="s">
        <v>24</v>
      </c>
      <c r="P9" t="s">
        <v>389</v>
      </c>
      <c r="R9" t="s">
        <v>390</v>
      </c>
      <c r="S9" t="b">
        <v>1</v>
      </c>
      <c r="T9" t="s">
        <v>391</v>
      </c>
    </row>
    <row r="10" spans="1:22" x14ac:dyDescent="0.2">
      <c r="A10" t="s">
        <v>384</v>
      </c>
      <c r="C10" t="s">
        <v>22</v>
      </c>
      <c r="D10" s="1">
        <v>44634.115972222222</v>
      </c>
      <c r="E10">
        <v>5</v>
      </c>
      <c r="F10">
        <v>0</v>
      </c>
      <c r="G10" t="s">
        <v>23</v>
      </c>
      <c r="I10">
        <v>5</v>
      </c>
      <c r="J10">
        <v>0</v>
      </c>
      <c r="K10">
        <v>0.45</v>
      </c>
      <c r="L10">
        <v>0</v>
      </c>
      <c r="M10" t="s">
        <v>23</v>
      </c>
      <c r="N10" t="s">
        <v>24</v>
      </c>
      <c r="P10" t="s">
        <v>385</v>
      </c>
      <c r="R10" t="s">
        <v>386</v>
      </c>
      <c r="S10" t="b">
        <v>1</v>
      </c>
      <c r="T10" t="s">
        <v>387</v>
      </c>
    </row>
    <row r="11" spans="1:22" x14ac:dyDescent="0.2">
      <c r="A11" t="s">
        <v>380</v>
      </c>
      <c r="C11" t="s">
        <v>22</v>
      </c>
      <c r="D11" s="1">
        <v>44634.140277777777</v>
      </c>
      <c r="E11">
        <v>5</v>
      </c>
      <c r="F11">
        <v>0</v>
      </c>
      <c r="G11" t="s">
        <v>23</v>
      </c>
      <c r="I11">
        <v>5</v>
      </c>
      <c r="J11">
        <v>0</v>
      </c>
      <c r="K11">
        <v>0.45</v>
      </c>
      <c r="L11">
        <v>0</v>
      </c>
      <c r="M11" t="s">
        <v>23</v>
      </c>
      <c r="N11" t="s">
        <v>24</v>
      </c>
      <c r="P11" t="s">
        <v>381</v>
      </c>
      <c r="R11" t="s">
        <v>382</v>
      </c>
      <c r="S11" t="b">
        <v>1</v>
      </c>
      <c r="T11" t="s">
        <v>383</v>
      </c>
    </row>
    <row r="12" spans="1:22" x14ac:dyDescent="0.2">
      <c r="A12" t="s">
        <v>376</v>
      </c>
      <c r="C12" t="s">
        <v>22</v>
      </c>
      <c r="D12" s="1">
        <v>44634.595833333333</v>
      </c>
      <c r="E12">
        <v>5</v>
      </c>
      <c r="F12">
        <v>0</v>
      </c>
      <c r="G12" t="s">
        <v>23</v>
      </c>
      <c r="I12">
        <v>5</v>
      </c>
      <c r="J12">
        <v>0</v>
      </c>
      <c r="K12">
        <v>0.45</v>
      </c>
      <c r="L12">
        <v>0</v>
      </c>
      <c r="M12" t="s">
        <v>23</v>
      </c>
      <c r="N12" t="s">
        <v>24</v>
      </c>
      <c r="P12" t="s">
        <v>377</v>
      </c>
      <c r="R12" t="s">
        <v>378</v>
      </c>
      <c r="S12" t="b">
        <v>1</v>
      </c>
      <c r="T12" t="s">
        <v>379</v>
      </c>
    </row>
    <row r="13" spans="1:22" x14ac:dyDescent="0.2">
      <c r="A13" t="s">
        <v>372</v>
      </c>
      <c r="C13" t="s">
        <v>22</v>
      </c>
      <c r="D13" s="1">
        <v>44634.602083333331</v>
      </c>
      <c r="E13">
        <v>5</v>
      </c>
      <c r="F13">
        <v>0</v>
      </c>
      <c r="G13" t="s">
        <v>23</v>
      </c>
      <c r="I13">
        <v>5</v>
      </c>
      <c r="J13">
        <v>0</v>
      </c>
      <c r="K13">
        <v>0.45</v>
      </c>
      <c r="L13">
        <v>0</v>
      </c>
      <c r="M13" t="s">
        <v>23</v>
      </c>
      <c r="N13" t="s">
        <v>24</v>
      </c>
      <c r="P13" t="s">
        <v>373</v>
      </c>
      <c r="R13" t="s">
        <v>374</v>
      </c>
      <c r="S13" t="b">
        <v>1</v>
      </c>
      <c r="T13" t="s">
        <v>375</v>
      </c>
    </row>
    <row r="14" spans="1:22" x14ac:dyDescent="0.2">
      <c r="A14" t="s">
        <v>368</v>
      </c>
      <c r="C14" t="s">
        <v>22</v>
      </c>
      <c r="D14" s="1">
        <v>44634.643750000003</v>
      </c>
      <c r="E14">
        <v>4</v>
      </c>
      <c r="F14">
        <v>0</v>
      </c>
      <c r="G14" t="s">
        <v>23</v>
      </c>
      <c r="H14" t="s">
        <v>422</v>
      </c>
      <c r="I14">
        <v>4</v>
      </c>
      <c r="J14">
        <v>0</v>
      </c>
      <c r="K14">
        <v>0.42</v>
      </c>
      <c r="L14">
        <v>0</v>
      </c>
      <c r="M14" t="s">
        <v>23</v>
      </c>
      <c r="N14" t="s">
        <v>24</v>
      </c>
      <c r="P14" t="s">
        <v>369</v>
      </c>
      <c r="R14" t="s">
        <v>370</v>
      </c>
      <c r="S14" t="b">
        <v>1</v>
      </c>
      <c r="T14" t="s">
        <v>371</v>
      </c>
    </row>
    <row r="15" spans="1:22" x14ac:dyDescent="0.2">
      <c r="A15" t="s">
        <v>364</v>
      </c>
      <c r="C15" t="s">
        <v>22</v>
      </c>
      <c r="D15" s="1">
        <v>44634.645833333336</v>
      </c>
      <c r="E15">
        <v>4</v>
      </c>
      <c r="F15">
        <v>0</v>
      </c>
      <c r="G15" t="s">
        <v>23</v>
      </c>
      <c r="H15" t="s">
        <v>422</v>
      </c>
      <c r="I15">
        <v>4</v>
      </c>
      <c r="J15">
        <v>0</v>
      </c>
      <c r="K15">
        <v>0.42</v>
      </c>
      <c r="L15">
        <v>0</v>
      </c>
      <c r="M15" t="s">
        <v>23</v>
      </c>
      <c r="N15" t="s">
        <v>24</v>
      </c>
      <c r="P15" t="s">
        <v>365</v>
      </c>
      <c r="R15" t="s">
        <v>366</v>
      </c>
      <c r="S15" t="b">
        <v>1</v>
      </c>
      <c r="T15" t="s">
        <v>367</v>
      </c>
    </row>
    <row r="16" spans="1:22" x14ac:dyDescent="0.2">
      <c r="A16" t="s">
        <v>360</v>
      </c>
      <c r="C16" t="s">
        <v>22</v>
      </c>
      <c r="D16" s="1">
        <v>44634.652777777781</v>
      </c>
      <c r="E16">
        <v>5</v>
      </c>
      <c r="F16">
        <v>0</v>
      </c>
      <c r="G16" t="s">
        <v>23</v>
      </c>
      <c r="I16">
        <v>5</v>
      </c>
      <c r="J16">
        <v>0</v>
      </c>
      <c r="K16">
        <v>0.45</v>
      </c>
      <c r="L16">
        <v>0</v>
      </c>
      <c r="M16" t="s">
        <v>23</v>
      </c>
      <c r="N16" t="s">
        <v>24</v>
      </c>
      <c r="P16" t="s">
        <v>361</v>
      </c>
      <c r="R16" t="s">
        <v>362</v>
      </c>
      <c r="S16" t="b">
        <v>1</v>
      </c>
      <c r="T16" t="s">
        <v>363</v>
      </c>
    </row>
    <row r="17" spans="1:20" x14ac:dyDescent="0.2">
      <c r="A17" t="s">
        <v>356</v>
      </c>
      <c r="C17" t="s">
        <v>22</v>
      </c>
      <c r="D17" s="1">
        <v>44634.673611111109</v>
      </c>
      <c r="E17">
        <v>5</v>
      </c>
      <c r="F17">
        <v>0</v>
      </c>
      <c r="G17" t="s">
        <v>23</v>
      </c>
      <c r="I17">
        <v>5</v>
      </c>
      <c r="J17">
        <v>0</v>
      </c>
      <c r="K17">
        <v>0.45</v>
      </c>
      <c r="L17">
        <v>0</v>
      </c>
      <c r="M17" t="s">
        <v>23</v>
      </c>
      <c r="N17" t="s">
        <v>24</v>
      </c>
      <c r="P17" t="s">
        <v>357</v>
      </c>
      <c r="R17" t="s">
        <v>358</v>
      </c>
      <c r="S17" t="b">
        <v>1</v>
      </c>
      <c r="T17" t="s">
        <v>359</v>
      </c>
    </row>
    <row r="18" spans="1:20" x14ac:dyDescent="0.2">
      <c r="A18" t="s">
        <v>352</v>
      </c>
      <c r="C18" t="s">
        <v>22</v>
      </c>
      <c r="D18" s="1">
        <v>44634.677083333336</v>
      </c>
      <c r="E18">
        <v>5</v>
      </c>
      <c r="F18">
        <v>0</v>
      </c>
      <c r="G18" t="s">
        <v>23</v>
      </c>
      <c r="I18">
        <v>5</v>
      </c>
      <c r="J18">
        <v>0</v>
      </c>
      <c r="K18">
        <v>0.45</v>
      </c>
      <c r="L18">
        <v>0</v>
      </c>
      <c r="M18" t="s">
        <v>23</v>
      </c>
      <c r="N18" t="s">
        <v>24</v>
      </c>
      <c r="P18" t="s">
        <v>353</v>
      </c>
      <c r="R18" t="s">
        <v>354</v>
      </c>
      <c r="S18" t="b">
        <v>1</v>
      </c>
      <c r="T18" t="s">
        <v>355</v>
      </c>
    </row>
    <row r="19" spans="1:20" x14ac:dyDescent="0.2">
      <c r="A19" t="s">
        <v>348</v>
      </c>
      <c r="C19" t="s">
        <v>22</v>
      </c>
      <c r="D19" s="1">
        <v>44634.736805555556</v>
      </c>
      <c r="E19">
        <v>5</v>
      </c>
      <c r="F19">
        <v>0</v>
      </c>
      <c r="G19" t="s">
        <v>23</v>
      </c>
      <c r="I19">
        <v>5</v>
      </c>
      <c r="J19">
        <v>0</v>
      </c>
      <c r="K19">
        <v>0.45</v>
      </c>
      <c r="L19">
        <v>0</v>
      </c>
      <c r="M19" t="s">
        <v>23</v>
      </c>
      <c r="N19" t="s">
        <v>24</v>
      </c>
      <c r="P19" t="s">
        <v>349</v>
      </c>
      <c r="R19" t="s">
        <v>350</v>
      </c>
      <c r="S19" t="b">
        <v>1</v>
      </c>
      <c r="T19" t="s">
        <v>351</v>
      </c>
    </row>
    <row r="20" spans="1:20" x14ac:dyDescent="0.2">
      <c r="A20" t="s">
        <v>344</v>
      </c>
      <c r="C20" t="s">
        <v>22</v>
      </c>
      <c r="D20" s="1">
        <v>44634.761805555558</v>
      </c>
      <c r="E20">
        <v>5</v>
      </c>
      <c r="F20">
        <v>0</v>
      </c>
      <c r="G20" t="s">
        <v>23</v>
      </c>
      <c r="I20">
        <v>5</v>
      </c>
      <c r="J20">
        <v>0</v>
      </c>
      <c r="K20">
        <v>0.45</v>
      </c>
      <c r="L20">
        <v>0</v>
      </c>
      <c r="M20" t="s">
        <v>23</v>
      </c>
      <c r="N20" t="s">
        <v>24</v>
      </c>
      <c r="P20" t="s">
        <v>345</v>
      </c>
      <c r="R20" t="s">
        <v>346</v>
      </c>
      <c r="S20" t="b">
        <v>1</v>
      </c>
      <c r="T20" t="s">
        <v>347</v>
      </c>
    </row>
    <row r="21" spans="1:20" x14ac:dyDescent="0.2">
      <c r="A21" t="s">
        <v>340</v>
      </c>
      <c r="C21" t="s">
        <v>22</v>
      </c>
      <c r="D21" s="1">
        <v>44634.78402777778</v>
      </c>
      <c r="E21">
        <v>5</v>
      </c>
      <c r="F21">
        <v>0</v>
      </c>
      <c r="G21" t="s">
        <v>23</v>
      </c>
      <c r="I21">
        <v>5</v>
      </c>
      <c r="J21">
        <v>0</v>
      </c>
      <c r="K21">
        <v>0.45</v>
      </c>
      <c r="L21">
        <v>0</v>
      </c>
      <c r="M21" t="s">
        <v>23</v>
      </c>
      <c r="N21" t="s">
        <v>24</v>
      </c>
      <c r="P21" t="s">
        <v>341</v>
      </c>
      <c r="R21" t="s">
        <v>342</v>
      </c>
      <c r="S21" t="b">
        <v>1</v>
      </c>
      <c r="T21" t="s">
        <v>343</v>
      </c>
    </row>
    <row r="22" spans="1:20" x14ac:dyDescent="0.2">
      <c r="A22" t="s">
        <v>336</v>
      </c>
      <c r="C22" t="s">
        <v>22</v>
      </c>
      <c r="D22" s="1">
        <v>44634.834027777775</v>
      </c>
      <c r="E22">
        <v>3.14</v>
      </c>
      <c r="F22">
        <v>0</v>
      </c>
      <c r="G22" t="s">
        <v>23</v>
      </c>
      <c r="H22" t="s">
        <v>421</v>
      </c>
      <c r="I22">
        <v>3.14</v>
      </c>
      <c r="J22">
        <v>0</v>
      </c>
      <c r="K22">
        <v>0.39</v>
      </c>
      <c r="L22">
        <v>0</v>
      </c>
      <c r="M22" t="s">
        <v>23</v>
      </c>
      <c r="N22" t="s">
        <v>24</v>
      </c>
      <c r="P22" t="s">
        <v>337</v>
      </c>
      <c r="R22" t="s">
        <v>338</v>
      </c>
      <c r="S22" t="b">
        <v>1</v>
      </c>
      <c r="T22" t="s">
        <v>339</v>
      </c>
    </row>
    <row r="23" spans="1:20" x14ac:dyDescent="0.2">
      <c r="A23" t="s">
        <v>332</v>
      </c>
      <c r="C23" t="s">
        <v>22</v>
      </c>
      <c r="D23" s="1">
        <v>44634.84375</v>
      </c>
      <c r="E23">
        <v>3.14</v>
      </c>
      <c r="F23">
        <v>0</v>
      </c>
      <c r="G23" t="s">
        <v>23</v>
      </c>
      <c r="H23" t="s">
        <v>421</v>
      </c>
      <c r="I23">
        <v>3.14</v>
      </c>
      <c r="J23">
        <v>0</v>
      </c>
      <c r="K23">
        <v>0.39</v>
      </c>
      <c r="L23">
        <v>0</v>
      </c>
      <c r="M23" t="s">
        <v>23</v>
      </c>
      <c r="N23" t="s">
        <v>24</v>
      </c>
      <c r="P23" t="s">
        <v>333</v>
      </c>
      <c r="R23" t="s">
        <v>334</v>
      </c>
      <c r="S23" t="b">
        <v>1</v>
      </c>
      <c r="T23" t="s">
        <v>335</v>
      </c>
    </row>
    <row r="24" spans="1:20" x14ac:dyDescent="0.2">
      <c r="A24" t="s">
        <v>328</v>
      </c>
      <c r="C24" t="s">
        <v>22</v>
      </c>
      <c r="D24" s="1">
        <v>44634.856249999997</v>
      </c>
      <c r="E24">
        <v>5</v>
      </c>
      <c r="F24">
        <v>0</v>
      </c>
      <c r="G24" t="s">
        <v>23</v>
      </c>
      <c r="I24">
        <v>5</v>
      </c>
      <c r="J24">
        <v>0</v>
      </c>
      <c r="K24">
        <v>0.45</v>
      </c>
      <c r="L24">
        <v>0</v>
      </c>
      <c r="M24" t="s">
        <v>23</v>
      </c>
      <c r="N24" t="s">
        <v>24</v>
      </c>
      <c r="P24" t="s">
        <v>329</v>
      </c>
      <c r="R24" t="s">
        <v>330</v>
      </c>
      <c r="S24" t="b">
        <v>1</v>
      </c>
      <c r="T24" t="s">
        <v>331</v>
      </c>
    </row>
    <row r="25" spans="1:20" x14ac:dyDescent="0.2">
      <c r="A25" t="s">
        <v>324</v>
      </c>
      <c r="C25" t="s">
        <v>22</v>
      </c>
      <c r="D25" s="1">
        <v>44634.859722222223</v>
      </c>
      <c r="E25">
        <v>5</v>
      </c>
      <c r="F25">
        <v>0</v>
      </c>
      <c r="G25" t="s">
        <v>23</v>
      </c>
      <c r="I25">
        <v>5</v>
      </c>
      <c r="J25">
        <v>0</v>
      </c>
      <c r="K25">
        <v>0.45</v>
      </c>
      <c r="L25">
        <v>0</v>
      </c>
      <c r="M25" t="s">
        <v>23</v>
      </c>
      <c r="N25" t="s">
        <v>24</v>
      </c>
      <c r="P25" t="s">
        <v>325</v>
      </c>
      <c r="R25" t="s">
        <v>326</v>
      </c>
      <c r="S25" t="b">
        <v>1</v>
      </c>
      <c r="T25" t="s">
        <v>327</v>
      </c>
    </row>
    <row r="26" spans="1:20" x14ac:dyDescent="0.2">
      <c r="A26" t="s">
        <v>320</v>
      </c>
      <c r="C26" t="s">
        <v>22</v>
      </c>
      <c r="D26" s="1">
        <v>44634.863194444442</v>
      </c>
      <c r="E26">
        <v>3.14</v>
      </c>
      <c r="F26">
        <v>0</v>
      </c>
      <c r="G26" t="s">
        <v>23</v>
      </c>
      <c r="H26" t="s">
        <v>421</v>
      </c>
      <c r="I26">
        <v>3.14</v>
      </c>
      <c r="J26">
        <v>0</v>
      </c>
      <c r="K26">
        <v>0.39</v>
      </c>
      <c r="L26">
        <v>0</v>
      </c>
      <c r="M26" t="s">
        <v>23</v>
      </c>
      <c r="N26" t="s">
        <v>24</v>
      </c>
      <c r="P26" t="s">
        <v>321</v>
      </c>
      <c r="R26" t="s">
        <v>322</v>
      </c>
      <c r="S26" t="b">
        <v>1</v>
      </c>
      <c r="T26" t="s">
        <v>323</v>
      </c>
    </row>
    <row r="27" spans="1:20" x14ac:dyDescent="0.2">
      <c r="A27" t="s">
        <v>316</v>
      </c>
      <c r="C27" t="s">
        <v>22</v>
      </c>
      <c r="D27" s="1">
        <v>44634.893055555556</v>
      </c>
      <c r="E27">
        <v>3.14</v>
      </c>
      <c r="F27">
        <v>0</v>
      </c>
      <c r="G27" t="s">
        <v>23</v>
      </c>
      <c r="H27" t="s">
        <v>421</v>
      </c>
      <c r="I27">
        <v>3.14</v>
      </c>
      <c r="J27">
        <v>0</v>
      </c>
      <c r="K27">
        <v>0.39</v>
      </c>
      <c r="L27">
        <v>0</v>
      </c>
      <c r="M27" t="s">
        <v>23</v>
      </c>
      <c r="N27" t="s">
        <v>24</v>
      </c>
      <c r="P27" t="s">
        <v>317</v>
      </c>
      <c r="R27" t="s">
        <v>318</v>
      </c>
      <c r="S27" t="b">
        <v>1</v>
      </c>
      <c r="T27" t="s">
        <v>319</v>
      </c>
    </row>
    <row r="28" spans="1:20" x14ac:dyDescent="0.2">
      <c r="A28" t="s">
        <v>312</v>
      </c>
      <c r="C28" t="s">
        <v>22</v>
      </c>
      <c r="D28" s="1">
        <v>44634.896527777775</v>
      </c>
      <c r="E28">
        <v>5</v>
      </c>
      <c r="F28">
        <v>0</v>
      </c>
      <c r="G28" t="s">
        <v>23</v>
      </c>
      <c r="I28">
        <v>5</v>
      </c>
      <c r="J28">
        <v>0</v>
      </c>
      <c r="K28">
        <v>0.45</v>
      </c>
      <c r="L28">
        <v>0</v>
      </c>
      <c r="M28" t="s">
        <v>23</v>
      </c>
      <c r="N28" t="s">
        <v>24</v>
      </c>
      <c r="P28" t="s">
        <v>313</v>
      </c>
      <c r="R28" t="s">
        <v>314</v>
      </c>
      <c r="S28" t="b">
        <v>1</v>
      </c>
      <c r="T28" t="s">
        <v>315</v>
      </c>
    </row>
    <row r="29" spans="1:20" x14ac:dyDescent="0.2">
      <c r="A29" t="s">
        <v>308</v>
      </c>
      <c r="C29" t="s">
        <v>22</v>
      </c>
      <c r="D29" s="1">
        <v>44634.931944444441</v>
      </c>
      <c r="E29">
        <v>3.14</v>
      </c>
      <c r="F29">
        <v>0</v>
      </c>
      <c r="G29" t="s">
        <v>23</v>
      </c>
      <c r="H29" t="s">
        <v>421</v>
      </c>
      <c r="I29">
        <v>3.14</v>
      </c>
      <c r="J29">
        <v>0</v>
      </c>
      <c r="K29">
        <v>0.39</v>
      </c>
      <c r="L29">
        <v>0</v>
      </c>
      <c r="M29" t="s">
        <v>23</v>
      </c>
      <c r="N29" t="s">
        <v>24</v>
      </c>
      <c r="P29" t="s">
        <v>309</v>
      </c>
      <c r="R29" t="s">
        <v>310</v>
      </c>
      <c r="S29" t="b">
        <v>1</v>
      </c>
      <c r="T29" t="s">
        <v>311</v>
      </c>
    </row>
    <row r="30" spans="1:20" x14ac:dyDescent="0.2">
      <c r="A30" t="s">
        <v>304</v>
      </c>
      <c r="C30" t="s">
        <v>22</v>
      </c>
      <c r="D30" s="1">
        <v>44634.989583333336</v>
      </c>
      <c r="E30">
        <v>5</v>
      </c>
      <c r="F30">
        <v>0</v>
      </c>
      <c r="G30" t="s">
        <v>23</v>
      </c>
      <c r="I30">
        <v>5</v>
      </c>
      <c r="J30">
        <v>0</v>
      </c>
      <c r="K30">
        <v>0.45</v>
      </c>
      <c r="L30">
        <v>0</v>
      </c>
      <c r="M30" t="s">
        <v>23</v>
      </c>
      <c r="N30" t="s">
        <v>24</v>
      </c>
      <c r="P30" t="s">
        <v>305</v>
      </c>
      <c r="R30" t="s">
        <v>306</v>
      </c>
      <c r="S30" t="b">
        <v>1</v>
      </c>
      <c r="T30" t="s">
        <v>307</v>
      </c>
    </row>
    <row r="31" spans="1:20" x14ac:dyDescent="0.2">
      <c r="A31" t="s">
        <v>300</v>
      </c>
      <c r="C31" t="s">
        <v>22</v>
      </c>
      <c r="D31" s="1">
        <v>44634.990972222222</v>
      </c>
      <c r="E31">
        <v>5</v>
      </c>
      <c r="F31">
        <v>0</v>
      </c>
      <c r="G31" t="s">
        <v>23</v>
      </c>
      <c r="I31">
        <v>5</v>
      </c>
      <c r="J31">
        <v>0</v>
      </c>
      <c r="K31">
        <v>0.45</v>
      </c>
      <c r="L31">
        <v>0</v>
      </c>
      <c r="M31" t="s">
        <v>23</v>
      </c>
      <c r="N31" t="s">
        <v>24</v>
      </c>
      <c r="P31" t="s">
        <v>301</v>
      </c>
      <c r="R31" t="s">
        <v>302</v>
      </c>
      <c r="S31" t="b">
        <v>1</v>
      </c>
      <c r="T31" t="s">
        <v>303</v>
      </c>
    </row>
    <row r="32" spans="1:20" x14ac:dyDescent="0.2">
      <c r="A32" t="s">
        <v>296</v>
      </c>
      <c r="C32" t="s">
        <v>22</v>
      </c>
      <c r="D32" s="1">
        <v>44634.995138888888</v>
      </c>
      <c r="E32">
        <v>5</v>
      </c>
      <c r="F32">
        <v>0</v>
      </c>
      <c r="G32" t="s">
        <v>23</v>
      </c>
      <c r="I32">
        <v>5</v>
      </c>
      <c r="J32">
        <v>0</v>
      </c>
      <c r="K32">
        <v>0.45</v>
      </c>
      <c r="L32">
        <v>0</v>
      </c>
      <c r="M32" t="s">
        <v>23</v>
      </c>
      <c r="N32" t="s">
        <v>24</v>
      </c>
      <c r="P32" t="s">
        <v>297</v>
      </c>
      <c r="R32" t="s">
        <v>298</v>
      </c>
      <c r="S32" t="b">
        <v>1</v>
      </c>
      <c r="T32" t="s">
        <v>299</v>
      </c>
    </row>
    <row r="33" spans="1:20" x14ac:dyDescent="0.2">
      <c r="A33" t="s">
        <v>292</v>
      </c>
      <c r="C33" t="s">
        <v>22</v>
      </c>
      <c r="D33" s="1">
        <v>44635</v>
      </c>
      <c r="E33">
        <v>4</v>
      </c>
      <c r="F33">
        <v>0</v>
      </c>
      <c r="G33" t="s">
        <v>23</v>
      </c>
      <c r="H33" t="s">
        <v>422</v>
      </c>
      <c r="I33">
        <v>4</v>
      </c>
      <c r="J33">
        <v>0</v>
      </c>
      <c r="K33">
        <v>0.42</v>
      </c>
      <c r="L33">
        <v>0</v>
      </c>
      <c r="M33" t="s">
        <v>23</v>
      </c>
      <c r="N33" t="s">
        <v>24</v>
      </c>
      <c r="P33" t="s">
        <v>293</v>
      </c>
      <c r="R33" t="s">
        <v>294</v>
      </c>
      <c r="S33" t="b">
        <v>1</v>
      </c>
      <c r="T33" t="s">
        <v>295</v>
      </c>
    </row>
    <row r="34" spans="1:20" x14ac:dyDescent="0.2">
      <c r="A34" t="s">
        <v>288</v>
      </c>
      <c r="C34" t="s">
        <v>22</v>
      </c>
      <c r="D34" s="1">
        <v>44635.020138888889</v>
      </c>
      <c r="E34">
        <v>5</v>
      </c>
      <c r="F34">
        <v>0</v>
      </c>
      <c r="G34" t="s">
        <v>23</v>
      </c>
      <c r="I34">
        <v>5</v>
      </c>
      <c r="J34">
        <v>0</v>
      </c>
      <c r="K34">
        <v>0.45</v>
      </c>
      <c r="L34">
        <v>0</v>
      </c>
      <c r="M34" t="s">
        <v>23</v>
      </c>
      <c r="N34" t="s">
        <v>24</v>
      </c>
      <c r="P34" t="s">
        <v>289</v>
      </c>
      <c r="R34" t="s">
        <v>290</v>
      </c>
      <c r="S34" t="b">
        <v>1</v>
      </c>
      <c r="T34" t="s">
        <v>291</v>
      </c>
    </row>
    <row r="35" spans="1:20" x14ac:dyDescent="0.2">
      <c r="A35" t="s">
        <v>284</v>
      </c>
      <c r="C35" t="s">
        <v>22</v>
      </c>
      <c r="D35" s="1">
        <v>44635.036805555559</v>
      </c>
      <c r="E35">
        <v>5</v>
      </c>
      <c r="F35">
        <v>0</v>
      </c>
      <c r="G35" t="s">
        <v>23</v>
      </c>
      <c r="I35">
        <v>5</v>
      </c>
      <c r="J35">
        <v>0</v>
      </c>
      <c r="K35">
        <v>0.45</v>
      </c>
      <c r="L35">
        <v>0</v>
      </c>
      <c r="M35" t="s">
        <v>23</v>
      </c>
      <c r="N35" t="s">
        <v>24</v>
      </c>
      <c r="P35" t="s">
        <v>285</v>
      </c>
      <c r="R35" t="s">
        <v>286</v>
      </c>
      <c r="S35" t="b">
        <v>1</v>
      </c>
      <c r="T35" t="s">
        <v>287</v>
      </c>
    </row>
    <row r="36" spans="1:20" x14ac:dyDescent="0.2">
      <c r="A36" t="s">
        <v>280</v>
      </c>
      <c r="C36" t="s">
        <v>22</v>
      </c>
      <c r="D36" s="1">
        <v>44635.040972222225</v>
      </c>
      <c r="E36">
        <v>5</v>
      </c>
      <c r="F36">
        <v>0</v>
      </c>
      <c r="G36" t="s">
        <v>23</v>
      </c>
      <c r="I36">
        <v>5</v>
      </c>
      <c r="J36">
        <v>0</v>
      </c>
      <c r="K36">
        <v>0.45</v>
      </c>
      <c r="L36">
        <v>0</v>
      </c>
      <c r="M36" t="s">
        <v>23</v>
      </c>
      <c r="N36" t="s">
        <v>24</v>
      </c>
      <c r="P36" t="s">
        <v>281</v>
      </c>
      <c r="R36" t="s">
        <v>282</v>
      </c>
      <c r="S36" t="b">
        <v>1</v>
      </c>
      <c r="T36" t="s">
        <v>283</v>
      </c>
    </row>
    <row r="37" spans="1:20" x14ac:dyDescent="0.2">
      <c r="A37" t="s">
        <v>276</v>
      </c>
      <c r="C37" t="s">
        <v>22</v>
      </c>
      <c r="D37" s="1">
        <v>44635.075694444444</v>
      </c>
      <c r="E37">
        <v>3.14</v>
      </c>
      <c r="F37">
        <v>0</v>
      </c>
      <c r="G37" t="s">
        <v>23</v>
      </c>
      <c r="H37" t="s">
        <v>421</v>
      </c>
      <c r="I37">
        <v>3.14</v>
      </c>
      <c r="J37">
        <v>0</v>
      </c>
      <c r="K37">
        <v>0.39</v>
      </c>
      <c r="L37">
        <v>0</v>
      </c>
      <c r="M37" t="s">
        <v>23</v>
      </c>
      <c r="N37" t="s">
        <v>24</v>
      </c>
      <c r="P37" t="s">
        <v>277</v>
      </c>
      <c r="R37" t="s">
        <v>278</v>
      </c>
      <c r="S37" t="b">
        <v>1</v>
      </c>
      <c r="T37" t="s">
        <v>279</v>
      </c>
    </row>
    <row r="38" spans="1:20" x14ac:dyDescent="0.2">
      <c r="A38" t="s">
        <v>272</v>
      </c>
      <c r="C38" t="s">
        <v>22</v>
      </c>
      <c r="D38" s="1">
        <v>44635.078472222223</v>
      </c>
      <c r="E38">
        <v>5</v>
      </c>
      <c r="F38">
        <v>0</v>
      </c>
      <c r="G38" t="s">
        <v>23</v>
      </c>
      <c r="I38">
        <v>5</v>
      </c>
      <c r="J38">
        <v>0</v>
      </c>
      <c r="K38">
        <v>0.45</v>
      </c>
      <c r="L38">
        <v>0</v>
      </c>
      <c r="M38" t="s">
        <v>23</v>
      </c>
      <c r="N38" t="s">
        <v>24</v>
      </c>
      <c r="P38" t="s">
        <v>273</v>
      </c>
      <c r="R38" t="s">
        <v>274</v>
      </c>
      <c r="S38" t="b">
        <v>1</v>
      </c>
      <c r="T38" t="s">
        <v>275</v>
      </c>
    </row>
    <row r="39" spans="1:20" x14ac:dyDescent="0.2">
      <c r="A39" t="s">
        <v>268</v>
      </c>
      <c r="C39" t="s">
        <v>22</v>
      </c>
      <c r="D39" s="1">
        <v>44635.081250000003</v>
      </c>
      <c r="E39">
        <v>5</v>
      </c>
      <c r="F39">
        <v>0</v>
      </c>
      <c r="G39" t="s">
        <v>23</v>
      </c>
      <c r="I39">
        <v>5</v>
      </c>
      <c r="J39">
        <v>0</v>
      </c>
      <c r="K39">
        <v>0.45</v>
      </c>
      <c r="L39">
        <v>0</v>
      </c>
      <c r="M39" t="s">
        <v>23</v>
      </c>
      <c r="N39" t="s">
        <v>24</v>
      </c>
      <c r="P39" t="s">
        <v>269</v>
      </c>
      <c r="R39" t="s">
        <v>270</v>
      </c>
      <c r="S39" t="b">
        <v>1</v>
      </c>
      <c r="T39" t="s">
        <v>271</v>
      </c>
    </row>
    <row r="40" spans="1:20" x14ac:dyDescent="0.2">
      <c r="A40" t="s">
        <v>264</v>
      </c>
      <c r="C40" t="s">
        <v>22</v>
      </c>
      <c r="D40" s="1">
        <v>44635.084027777775</v>
      </c>
      <c r="E40">
        <v>5</v>
      </c>
      <c r="F40">
        <v>0</v>
      </c>
      <c r="G40" t="s">
        <v>23</v>
      </c>
      <c r="I40">
        <v>5</v>
      </c>
      <c r="J40">
        <v>0</v>
      </c>
      <c r="K40">
        <v>0.45</v>
      </c>
      <c r="L40">
        <v>0</v>
      </c>
      <c r="M40" t="s">
        <v>23</v>
      </c>
      <c r="N40" t="s">
        <v>24</v>
      </c>
      <c r="P40" t="s">
        <v>265</v>
      </c>
      <c r="R40" t="s">
        <v>266</v>
      </c>
      <c r="S40" t="b">
        <v>1</v>
      </c>
      <c r="T40" t="s">
        <v>267</v>
      </c>
    </row>
    <row r="41" spans="1:20" x14ac:dyDescent="0.2">
      <c r="A41" t="s">
        <v>260</v>
      </c>
      <c r="C41" t="s">
        <v>22</v>
      </c>
      <c r="D41" s="1">
        <v>44635.35</v>
      </c>
      <c r="E41">
        <v>5</v>
      </c>
      <c r="F41">
        <v>0</v>
      </c>
      <c r="G41" t="s">
        <v>23</v>
      </c>
      <c r="I41">
        <v>5</v>
      </c>
      <c r="J41">
        <v>0</v>
      </c>
      <c r="K41">
        <v>0.45</v>
      </c>
      <c r="L41">
        <v>0</v>
      </c>
      <c r="M41" t="s">
        <v>23</v>
      </c>
      <c r="N41" t="s">
        <v>24</v>
      </c>
      <c r="P41" t="s">
        <v>261</v>
      </c>
      <c r="R41" t="s">
        <v>262</v>
      </c>
      <c r="S41" t="b">
        <v>1</v>
      </c>
      <c r="T41" t="s">
        <v>263</v>
      </c>
    </row>
    <row r="42" spans="1:20" x14ac:dyDescent="0.2">
      <c r="A42" t="s">
        <v>256</v>
      </c>
      <c r="C42" t="s">
        <v>22</v>
      </c>
      <c r="D42" s="1">
        <v>44635.552083333336</v>
      </c>
      <c r="E42">
        <v>4</v>
      </c>
      <c r="F42">
        <v>0</v>
      </c>
      <c r="G42" t="s">
        <v>23</v>
      </c>
      <c r="H42" t="s">
        <v>422</v>
      </c>
      <c r="I42">
        <v>4</v>
      </c>
      <c r="J42">
        <v>0</v>
      </c>
      <c r="K42">
        <v>0.42</v>
      </c>
      <c r="L42">
        <v>0</v>
      </c>
      <c r="M42" t="s">
        <v>23</v>
      </c>
      <c r="N42" t="s">
        <v>24</v>
      </c>
      <c r="P42" t="s">
        <v>257</v>
      </c>
      <c r="R42" t="s">
        <v>258</v>
      </c>
      <c r="S42" t="b">
        <v>1</v>
      </c>
      <c r="T42" t="s">
        <v>259</v>
      </c>
    </row>
    <row r="43" spans="1:20" x14ac:dyDescent="0.2">
      <c r="A43" t="s">
        <v>252</v>
      </c>
      <c r="C43" t="s">
        <v>22</v>
      </c>
      <c r="D43" s="1">
        <v>44635.576388888891</v>
      </c>
      <c r="E43">
        <v>5</v>
      </c>
      <c r="F43">
        <v>0</v>
      </c>
      <c r="G43" t="s">
        <v>23</v>
      </c>
      <c r="I43">
        <v>5</v>
      </c>
      <c r="J43">
        <v>0</v>
      </c>
      <c r="K43">
        <v>0.45</v>
      </c>
      <c r="L43">
        <v>0</v>
      </c>
      <c r="M43" t="s">
        <v>23</v>
      </c>
      <c r="N43" t="s">
        <v>24</v>
      </c>
      <c r="P43" t="s">
        <v>253</v>
      </c>
      <c r="R43" t="s">
        <v>254</v>
      </c>
      <c r="S43" t="b">
        <v>1</v>
      </c>
      <c r="T43" t="s">
        <v>255</v>
      </c>
    </row>
    <row r="44" spans="1:20" x14ac:dyDescent="0.2">
      <c r="A44" t="s">
        <v>248</v>
      </c>
      <c r="C44" t="s">
        <v>22</v>
      </c>
      <c r="D44" s="1">
        <v>44635.595138888886</v>
      </c>
      <c r="E44">
        <v>5</v>
      </c>
      <c r="F44">
        <v>0</v>
      </c>
      <c r="G44" t="s">
        <v>23</v>
      </c>
      <c r="I44">
        <v>5</v>
      </c>
      <c r="J44">
        <v>0</v>
      </c>
      <c r="K44">
        <v>0.45</v>
      </c>
      <c r="L44">
        <v>0</v>
      </c>
      <c r="M44" t="s">
        <v>23</v>
      </c>
      <c r="N44" t="s">
        <v>24</v>
      </c>
      <c r="P44" t="s">
        <v>249</v>
      </c>
      <c r="R44" t="s">
        <v>250</v>
      </c>
      <c r="S44" t="b">
        <v>1</v>
      </c>
      <c r="T44" t="s">
        <v>251</v>
      </c>
    </row>
    <row r="45" spans="1:20" x14ac:dyDescent="0.2">
      <c r="A45" t="s">
        <v>244</v>
      </c>
      <c r="C45" t="s">
        <v>22</v>
      </c>
      <c r="D45" s="1">
        <v>44635.599305555559</v>
      </c>
      <c r="E45">
        <v>5</v>
      </c>
      <c r="F45">
        <v>0</v>
      </c>
      <c r="G45" t="s">
        <v>23</v>
      </c>
      <c r="I45">
        <v>5</v>
      </c>
      <c r="J45">
        <v>0</v>
      </c>
      <c r="K45">
        <v>0.45</v>
      </c>
      <c r="L45">
        <v>0</v>
      </c>
      <c r="M45" t="s">
        <v>23</v>
      </c>
      <c r="N45" t="s">
        <v>24</v>
      </c>
      <c r="P45" t="s">
        <v>245</v>
      </c>
      <c r="R45" t="s">
        <v>246</v>
      </c>
      <c r="S45" t="b">
        <v>1</v>
      </c>
      <c r="T45" t="s">
        <v>247</v>
      </c>
    </row>
    <row r="46" spans="1:20" x14ac:dyDescent="0.2">
      <c r="A46" t="s">
        <v>240</v>
      </c>
      <c r="C46" t="s">
        <v>22</v>
      </c>
      <c r="D46" s="1">
        <v>44635.602083333331</v>
      </c>
      <c r="E46">
        <v>5</v>
      </c>
      <c r="F46">
        <v>0</v>
      </c>
      <c r="G46" t="s">
        <v>23</v>
      </c>
      <c r="I46">
        <v>5</v>
      </c>
      <c r="J46">
        <v>0</v>
      </c>
      <c r="K46">
        <v>0.45</v>
      </c>
      <c r="L46">
        <v>0</v>
      </c>
      <c r="M46" t="s">
        <v>23</v>
      </c>
      <c r="N46" t="s">
        <v>24</v>
      </c>
      <c r="P46" t="s">
        <v>241</v>
      </c>
      <c r="R46" t="s">
        <v>242</v>
      </c>
      <c r="S46" t="b">
        <v>1</v>
      </c>
      <c r="T46" t="s">
        <v>243</v>
      </c>
    </row>
    <row r="47" spans="1:20" x14ac:dyDescent="0.2">
      <c r="A47" t="s">
        <v>236</v>
      </c>
      <c r="C47" t="s">
        <v>22</v>
      </c>
      <c r="D47" s="1">
        <v>44635.611805555556</v>
      </c>
      <c r="E47">
        <v>5</v>
      </c>
      <c r="F47">
        <v>0</v>
      </c>
      <c r="G47" t="s">
        <v>23</v>
      </c>
      <c r="I47">
        <v>5</v>
      </c>
      <c r="J47">
        <v>0</v>
      </c>
      <c r="K47">
        <v>0.45</v>
      </c>
      <c r="L47">
        <v>0</v>
      </c>
      <c r="M47" t="s">
        <v>23</v>
      </c>
      <c r="N47" t="s">
        <v>24</v>
      </c>
      <c r="P47" t="s">
        <v>237</v>
      </c>
      <c r="R47" t="s">
        <v>238</v>
      </c>
      <c r="S47" t="b">
        <v>1</v>
      </c>
      <c r="T47" t="s">
        <v>239</v>
      </c>
    </row>
    <row r="48" spans="1:20" x14ac:dyDescent="0.2">
      <c r="A48" t="s">
        <v>232</v>
      </c>
      <c r="C48" t="s">
        <v>22</v>
      </c>
      <c r="D48" s="1">
        <v>44635.637499999997</v>
      </c>
      <c r="E48">
        <v>5</v>
      </c>
      <c r="F48">
        <v>0</v>
      </c>
      <c r="G48" t="s">
        <v>23</v>
      </c>
      <c r="I48">
        <v>5</v>
      </c>
      <c r="J48">
        <v>0</v>
      </c>
      <c r="K48">
        <v>0.45</v>
      </c>
      <c r="L48">
        <v>0</v>
      </c>
      <c r="M48" t="s">
        <v>23</v>
      </c>
      <c r="N48" t="s">
        <v>24</v>
      </c>
      <c r="P48" t="s">
        <v>233</v>
      </c>
      <c r="R48" t="s">
        <v>234</v>
      </c>
      <c r="S48" t="b">
        <v>1</v>
      </c>
      <c r="T48" t="s">
        <v>235</v>
      </c>
    </row>
    <row r="49" spans="1:20" x14ac:dyDescent="0.2">
      <c r="A49" t="s">
        <v>228</v>
      </c>
      <c r="C49" t="s">
        <v>22</v>
      </c>
      <c r="D49" s="1">
        <v>44635.645138888889</v>
      </c>
      <c r="E49">
        <v>5</v>
      </c>
      <c r="F49">
        <v>0</v>
      </c>
      <c r="G49" t="s">
        <v>23</v>
      </c>
      <c r="I49">
        <v>5</v>
      </c>
      <c r="J49">
        <v>0</v>
      </c>
      <c r="K49">
        <v>0.45</v>
      </c>
      <c r="L49">
        <v>0</v>
      </c>
      <c r="M49" t="s">
        <v>23</v>
      </c>
      <c r="N49" t="s">
        <v>24</v>
      </c>
      <c r="P49" t="s">
        <v>229</v>
      </c>
      <c r="R49" t="s">
        <v>230</v>
      </c>
      <c r="S49" t="b">
        <v>1</v>
      </c>
      <c r="T49" t="s">
        <v>231</v>
      </c>
    </row>
    <row r="50" spans="1:20" x14ac:dyDescent="0.2">
      <c r="A50" t="s">
        <v>224</v>
      </c>
      <c r="C50" t="s">
        <v>22</v>
      </c>
      <c r="D50" s="1">
        <v>44635.706250000003</v>
      </c>
      <c r="E50">
        <v>5</v>
      </c>
      <c r="F50">
        <v>0</v>
      </c>
      <c r="G50" t="s">
        <v>23</v>
      </c>
      <c r="I50">
        <v>5</v>
      </c>
      <c r="J50">
        <v>0</v>
      </c>
      <c r="K50">
        <v>0.45</v>
      </c>
      <c r="L50">
        <v>0</v>
      </c>
      <c r="M50" t="s">
        <v>23</v>
      </c>
      <c r="N50" t="s">
        <v>24</v>
      </c>
      <c r="P50" t="s">
        <v>225</v>
      </c>
      <c r="R50" t="s">
        <v>226</v>
      </c>
      <c r="S50" t="b">
        <v>1</v>
      </c>
      <c r="T50" t="s">
        <v>227</v>
      </c>
    </row>
    <row r="51" spans="1:20" x14ac:dyDescent="0.2">
      <c r="A51" t="s">
        <v>220</v>
      </c>
      <c r="C51" t="s">
        <v>22</v>
      </c>
      <c r="D51" s="1">
        <v>44635.712500000001</v>
      </c>
      <c r="E51">
        <v>5</v>
      </c>
      <c r="F51">
        <v>0</v>
      </c>
      <c r="G51" t="s">
        <v>23</v>
      </c>
      <c r="I51">
        <v>5</v>
      </c>
      <c r="J51">
        <v>0</v>
      </c>
      <c r="K51">
        <v>0.45</v>
      </c>
      <c r="L51">
        <v>0</v>
      </c>
      <c r="M51" t="s">
        <v>23</v>
      </c>
      <c r="N51" t="s">
        <v>24</v>
      </c>
      <c r="P51" t="s">
        <v>221</v>
      </c>
      <c r="R51" t="s">
        <v>222</v>
      </c>
      <c r="S51" t="b">
        <v>1</v>
      </c>
      <c r="T51" t="s">
        <v>223</v>
      </c>
    </row>
    <row r="52" spans="1:20" x14ac:dyDescent="0.2">
      <c r="A52" t="s">
        <v>216</v>
      </c>
      <c r="C52" t="s">
        <v>22</v>
      </c>
      <c r="D52" s="1">
        <v>44635.734027777777</v>
      </c>
      <c r="E52">
        <v>5</v>
      </c>
      <c r="F52">
        <v>0</v>
      </c>
      <c r="G52" t="s">
        <v>23</v>
      </c>
      <c r="I52">
        <v>5</v>
      </c>
      <c r="J52">
        <v>0</v>
      </c>
      <c r="K52">
        <v>0.45</v>
      </c>
      <c r="L52">
        <v>0</v>
      </c>
      <c r="M52" t="s">
        <v>23</v>
      </c>
      <c r="N52" t="s">
        <v>24</v>
      </c>
      <c r="P52" t="s">
        <v>217</v>
      </c>
      <c r="R52" t="s">
        <v>218</v>
      </c>
      <c r="S52" t="b">
        <v>1</v>
      </c>
      <c r="T52" t="s">
        <v>219</v>
      </c>
    </row>
    <row r="53" spans="1:20" x14ac:dyDescent="0.2">
      <c r="A53" t="s">
        <v>212</v>
      </c>
      <c r="C53" t="s">
        <v>22</v>
      </c>
      <c r="D53" s="1">
        <v>44635.750694444447</v>
      </c>
      <c r="E53">
        <v>5</v>
      </c>
      <c r="F53">
        <v>0</v>
      </c>
      <c r="G53" t="s">
        <v>23</v>
      </c>
      <c r="I53">
        <v>5</v>
      </c>
      <c r="J53">
        <v>0</v>
      </c>
      <c r="K53">
        <v>0.45</v>
      </c>
      <c r="L53">
        <v>0</v>
      </c>
      <c r="M53" t="s">
        <v>23</v>
      </c>
      <c r="N53" t="s">
        <v>24</v>
      </c>
      <c r="P53" t="s">
        <v>213</v>
      </c>
      <c r="R53" t="s">
        <v>214</v>
      </c>
      <c r="S53" t="b">
        <v>1</v>
      </c>
      <c r="T53" t="s">
        <v>215</v>
      </c>
    </row>
    <row r="54" spans="1:20" x14ac:dyDescent="0.2">
      <c r="A54" t="s">
        <v>208</v>
      </c>
      <c r="C54" t="s">
        <v>22</v>
      </c>
      <c r="D54" s="1">
        <v>44635.772916666669</v>
      </c>
      <c r="E54">
        <v>5</v>
      </c>
      <c r="F54">
        <v>0</v>
      </c>
      <c r="G54" t="s">
        <v>23</v>
      </c>
      <c r="I54">
        <v>5</v>
      </c>
      <c r="J54">
        <v>0</v>
      </c>
      <c r="K54">
        <v>0.45</v>
      </c>
      <c r="L54">
        <v>0</v>
      </c>
      <c r="M54" t="s">
        <v>23</v>
      </c>
      <c r="N54" t="s">
        <v>24</v>
      </c>
      <c r="P54" t="s">
        <v>209</v>
      </c>
      <c r="R54" t="s">
        <v>210</v>
      </c>
      <c r="S54" t="b">
        <v>1</v>
      </c>
      <c r="T54" t="s">
        <v>211</v>
      </c>
    </row>
    <row r="55" spans="1:20" x14ac:dyDescent="0.2">
      <c r="A55" t="s">
        <v>204</v>
      </c>
      <c r="C55" t="s">
        <v>22</v>
      </c>
      <c r="D55" s="1">
        <v>44636.043055555558</v>
      </c>
      <c r="E55">
        <v>5</v>
      </c>
      <c r="F55">
        <v>0</v>
      </c>
      <c r="G55" t="s">
        <v>23</v>
      </c>
      <c r="I55">
        <v>5</v>
      </c>
      <c r="J55">
        <v>0</v>
      </c>
      <c r="K55">
        <v>0.45</v>
      </c>
      <c r="L55">
        <v>0</v>
      </c>
      <c r="M55" t="s">
        <v>23</v>
      </c>
      <c r="N55" t="s">
        <v>24</v>
      </c>
      <c r="P55" t="s">
        <v>205</v>
      </c>
      <c r="R55" t="s">
        <v>206</v>
      </c>
      <c r="S55" t="b">
        <v>1</v>
      </c>
      <c r="T55" t="s">
        <v>207</v>
      </c>
    </row>
    <row r="56" spans="1:20" x14ac:dyDescent="0.2">
      <c r="A56" t="s">
        <v>200</v>
      </c>
      <c r="C56" t="s">
        <v>22</v>
      </c>
      <c r="D56" s="1">
        <v>44636.088194444441</v>
      </c>
      <c r="E56">
        <v>5</v>
      </c>
      <c r="F56">
        <v>0</v>
      </c>
      <c r="G56" t="s">
        <v>23</v>
      </c>
      <c r="I56">
        <v>5</v>
      </c>
      <c r="J56">
        <v>0</v>
      </c>
      <c r="K56">
        <v>0.45</v>
      </c>
      <c r="L56">
        <v>0</v>
      </c>
      <c r="M56" t="s">
        <v>23</v>
      </c>
      <c r="N56" t="s">
        <v>24</v>
      </c>
      <c r="P56" t="s">
        <v>201</v>
      </c>
      <c r="R56" t="s">
        <v>202</v>
      </c>
      <c r="S56" t="b">
        <v>1</v>
      </c>
      <c r="T56" t="s">
        <v>203</v>
      </c>
    </row>
    <row r="57" spans="1:20" x14ac:dyDescent="0.2">
      <c r="A57" t="s">
        <v>196</v>
      </c>
      <c r="C57" t="s">
        <v>22</v>
      </c>
      <c r="D57" s="1">
        <v>44636.09652777778</v>
      </c>
      <c r="E57">
        <v>5</v>
      </c>
      <c r="F57">
        <v>0</v>
      </c>
      <c r="G57" t="s">
        <v>23</v>
      </c>
      <c r="I57">
        <v>5</v>
      </c>
      <c r="J57">
        <v>0</v>
      </c>
      <c r="K57">
        <v>0.45</v>
      </c>
      <c r="L57">
        <v>0</v>
      </c>
      <c r="M57" t="s">
        <v>23</v>
      </c>
      <c r="N57" t="s">
        <v>24</v>
      </c>
      <c r="P57" t="s">
        <v>197</v>
      </c>
      <c r="R57" t="s">
        <v>198</v>
      </c>
      <c r="S57" t="b">
        <v>1</v>
      </c>
      <c r="T57" t="s">
        <v>199</v>
      </c>
    </row>
    <row r="58" spans="1:20" x14ac:dyDescent="0.2">
      <c r="A58" t="s">
        <v>192</v>
      </c>
      <c r="C58" t="s">
        <v>22</v>
      </c>
      <c r="D58" s="1">
        <v>44636.101388888892</v>
      </c>
      <c r="E58">
        <v>5</v>
      </c>
      <c r="F58">
        <v>0</v>
      </c>
      <c r="G58" t="s">
        <v>23</v>
      </c>
      <c r="I58">
        <v>5</v>
      </c>
      <c r="J58">
        <v>0</v>
      </c>
      <c r="K58">
        <v>0.45</v>
      </c>
      <c r="L58">
        <v>0</v>
      </c>
      <c r="M58" t="s">
        <v>23</v>
      </c>
      <c r="N58" t="s">
        <v>24</v>
      </c>
      <c r="P58" t="s">
        <v>193</v>
      </c>
      <c r="R58" t="s">
        <v>194</v>
      </c>
      <c r="S58" t="b">
        <v>1</v>
      </c>
      <c r="T58" t="s">
        <v>195</v>
      </c>
    </row>
    <row r="59" spans="1:20" x14ac:dyDescent="0.2">
      <c r="A59" t="s">
        <v>188</v>
      </c>
      <c r="C59" t="s">
        <v>22</v>
      </c>
      <c r="D59" s="1">
        <v>44636.111805555556</v>
      </c>
      <c r="E59">
        <v>5</v>
      </c>
      <c r="F59">
        <v>0</v>
      </c>
      <c r="G59" t="s">
        <v>23</v>
      </c>
      <c r="I59">
        <v>5</v>
      </c>
      <c r="J59">
        <v>0</v>
      </c>
      <c r="K59">
        <v>0.45</v>
      </c>
      <c r="L59">
        <v>0</v>
      </c>
      <c r="M59" t="s">
        <v>23</v>
      </c>
      <c r="N59" t="s">
        <v>24</v>
      </c>
      <c r="P59" t="s">
        <v>189</v>
      </c>
      <c r="R59" t="s">
        <v>190</v>
      </c>
      <c r="S59" t="b">
        <v>1</v>
      </c>
      <c r="T59" t="s">
        <v>191</v>
      </c>
    </row>
    <row r="60" spans="1:20" x14ac:dyDescent="0.2">
      <c r="A60" t="s">
        <v>184</v>
      </c>
      <c r="C60" t="s">
        <v>22</v>
      </c>
      <c r="D60" s="1">
        <v>44636.116666666669</v>
      </c>
      <c r="E60">
        <v>5</v>
      </c>
      <c r="F60">
        <v>0</v>
      </c>
      <c r="G60" t="s">
        <v>23</v>
      </c>
      <c r="I60">
        <v>5</v>
      </c>
      <c r="J60">
        <v>0</v>
      </c>
      <c r="K60">
        <v>0.45</v>
      </c>
      <c r="L60">
        <v>0</v>
      </c>
      <c r="M60" t="s">
        <v>23</v>
      </c>
      <c r="N60" t="s">
        <v>24</v>
      </c>
      <c r="P60" t="s">
        <v>185</v>
      </c>
      <c r="R60" t="s">
        <v>186</v>
      </c>
      <c r="S60" t="b">
        <v>1</v>
      </c>
      <c r="T60" t="s">
        <v>187</v>
      </c>
    </row>
    <row r="61" spans="1:20" x14ac:dyDescent="0.2">
      <c r="A61" t="s">
        <v>180</v>
      </c>
      <c r="C61" t="s">
        <v>22</v>
      </c>
      <c r="D61" s="1">
        <v>44636.167361111111</v>
      </c>
      <c r="E61">
        <v>5</v>
      </c>
      <c r="F61">
        <v>0</v>
      </c>
      <c r="G61" t="s">
        <v>23</v>
      </c>
      <c r="I61">
        <v>5</v>
      </c>
      <c r="J61">
        <v>0</v>
      </c>
      <c r="K61">
        <v>0.45</v>
      </c>
      <c r="L61">
        <v>0</v>
      </c>
      <c r="M61" t="s">
        <v>23</v>
      </c>
      <c r="N61" t="s">
        <v>24</v>
      </c>
      <c r="P61" t="s">
        <v>181</v>
      </c>
      <c r="R61" t="s">
        <v>182</v>
      </c>
      <c r="S61" t="b">
        <v>1</v>
      </c>
      <c r="T61" t="s">
        <v>183</v>
      </c>
    </row>
    <row r="62" spans="1:20" x14ac:dyDescent="0.2">
      <c r="A62" t="s">
        <v>176</v>
      </c>
      <c r="C62" t="s">
        <v>22</v>
      </c>
      <c r="D62" s="1">
        <v>44636.52847222222</v>
      </c>
      <c r="E62">
        <v>4</v>
      </c>
      <c r="F62">
        <v>0</v>
      </c>
      <c r="G62" t="s">
        <v>23</v>
      </c>
      <c r="H62" t="s">
        <v>422</v>
      </c>
      <c r="I62">
        <v>4</v>
      </c>
      <c r="J62">
        <v>0</v>
      </c>
      <c r="K62">
        <v>0.42</v>
      </c>
      <c r="L62">
        <v>0</v>
      </c>
      <c r="M62" t="s">
        <v>23</v>
      </c>
      <c r="N62" t="s">
        <v>24</v>
      </c>
      <c r="P62" t="s">
        <v>177</v>
      </c>
      <c r="R62" t="s">
        <v>178</v>
      </c>
      <c r="S62" t="b">
        <v>1</v>
      </c>
      <c r="T62" t="s">
        <v>179</v>
      </c>
    </row>
    <row r="63" spans="1:20" x14ac:dyDescent="0.2">
      <c r="A63" t="s">
        <v>172</v>
      </c>
      <c r="C63" t="s">
        <v>22</v>
      </c>
      <c r="D63" s="1">
        <v>44636.538194444445</v>
      </c>
      <c r="E63">
        <v>4</v>
      </c>
      <c r="F63">
        <v>0</v>
      </c>
      <c r="G63" t="s">
        <v>23</v>
      </c>
      <c r="H63" t="s">
        <v>422</v>
      </c>
      <c r="I63">
        <v>4</v>
      </c>
      <c r="J63">
        <v>0</v>
      </c>
      <c r="K63">
        <v>0.42</v>
      </c>
      <c r="L63">
        <v>0</v>
      </c>
      <c r="M63" t="s">
        <v>23</v>
      </c>
      <c r="N63" t="s">
        <v>24</v>
      </c>
      <c r="P63" t="s">
        <v>173</v>
      </c>
      <c r="R63" t="s">
        <v>174</v>
      </c>
      <c r="S63" t="b">
        <v>1</v>
      </c>
      <c r="T63" t="s">
        <v>175</v>
      </c>
    </row>
    <row r="64" spans="1:20" x14ac:dyDescent="0.2">
      <c r="A64" t="s">
        <v>168</v>
      </c>
      <c r="C64" t="s">
        <v>22</v>
      </c>
      <c r="D64" s="1">
        <v>44636.65625</v>
      </c>
      <c r="E64">
        <v>5</v>
      </c>
      <c r="F64">
        <v>0</v>
      </c>
      <c r="G64" t="s">
        <v>23</v>
      </c>
      <c r="I64">
        <v>5</v>
      </c>
      <c r="J64">
        <v>0</v>
      </c>
      <c r="K64">
        <v>0.45</v>
      </c>
      <c r="L64">
        <v>0</v>
      </c>
      <c r="M64" t="s">
        <v>23</v>
      </c>
      <c r="N64" t="s">
        <v>24</v>
      </c>
      <c r="P64" t="s">
        <v>169</v>
      </c>
      <c r="R64" t="s">
        <v>170</v>
      </c>
      <c r="S64" t="b">
        <v>1</v>
      </c>
      <c r="T64" t="s">
        <v>171</v>
      </c>
    </row>
    <row r="65" spans="1:20" x14ac:dyDescent="0.2">
      <c r="A65" t="s">
        <v>164</v>
      </c>
      <c r="C65" t="s">
        <v>22</v>
      </c>
      <c r="D65" s="1">
        <v>44636.661805555559</v>
      </c>
      <c r="E65">
        <v>5</v>
      </c>
      <c r="F65">
        <v>0</v>
      </c>
      <c r="G65" t="s">
        <v>23</v>
      </c>
      <c r="I65">
        <v>5</v>
      </c>
      <c r="J65">
        <v>0</v>
      </c>
      <c r="K65">
        <v>0.45</v>
      </c>
      <c r="L65">
        <v>0</v>
      </c>
      <c r="M65" t="s">
        <v>23</v>
      </c>
      <c r="N65" t="s">
        <v>24</v>
      </c>
      <c r="P65" t="s">
        <v>165</v>
      </c>
      <c r="R65" t="s">
        <v>166</v>
      </c>
      <c r="S65" t="b">
        <v>1</v>
      </c>
      <c r="T65" t="s">
        <v>167</v>
      </c>
    </row>
    <row r="66" spans="1:20" x14ac:dyDescent="0.2">
      <c r="A66" t="s">
        <v>160</v>
      </c>
      <c r="C66" t="s">
        <v>22</v>
      </c>
      <c r="D66" s="1">
        <v>44636.675000000003</v>
      </c>
      <c r="E66">
        <v>5</v>
      </c>
      <c r="F66">
        <v>0</v>
      </c>
      <c r="G66" t="s">
        <v>23</v>
      </c>
      <c r="I66">
        <v>5</v>
      </c>
      <c r="J66">
        <v>0</v>
      </c>
      <c r="K66">
        <v>0.45</v>
      </c>
      <c r="L66">
        <v>0</v>
      </c>
      <c r="M66" t="s">
        <v>23</v>
      </c>
      <c r="N66" t="s">
        <v>24</v>
      </c>
      <c r="P66" t="s">
        <v>161</v>
      </c>
      <c r="R66" t="s">
        <v>162</v>
      </c>
      <c r="S66" t="b">
        <v>1</v>
      </c>
      <c r="T66" t="s">
        <v>163</v>
      </c>
    </row>
    <row r="67" spans="1:20" x14ac:dyDescent="0.2">
      <c r="A67" t="s">
        <v>156</v>
      </c>
      <c r="C67" t="s">
        <v>22</v>
      </c>
      <c r="D67" s="1">
        <v>44636.747916666667</v>
      </c>
      <c r="E67">
        <v>5</v>
      </c>
      <c r="F67">
        <v>0</v>
      </c>
      <c r="G67" t="s">
        <v>23</v>
      </c>
      <c r="I67">
        <v>5</v>
      </c>
      <c r="J67">
        <v>0</v>
      </c>
      <c r="K67">
        <v>0.45</v>
      </c>
      <c r="L67">
        <v>0</v>
      </c>
      <c r="M67" t="s">
        <v>23</v>
      </c>
      <c r="N67" t="s">
        <v>24</v>
      </c>
      <c r="P67" t="s">
        <v>157</v>
      </c>
      <c r="R67" t="s">
        <v>158</v>
      </c>
      <c r="S67" t="b">
        <v>1</v>
      </c>
      <c r="T67" t="s">
        <v>159</v>
      </c>
    </row>
    <row r="68" spans="1:20" x14ac:dyDescent="0.2">
      <c r="A68" t="s">
        <v>152</v>
      </c>
      <c r="C68" t="s">
        <v>22</v>
      </c>
      <c r="D68" s="1">
        <v>44636.772222222222</v>
      </c>
      <c r="E68">
        <v>4</v>
      </c>
      <c r="F68">
        <v>0</v>
      </c>
      <c r="G68" t="s">
        <v>23</v>
      </c>
      <c r="H68" t="s">
        <v>422</v>
      </c>
      <c r="I68">
        <v>4</v>
      </c>
      <c r="J68">
        <v>0</v>
      </c>
      <c r="K68">
        <v>0.42</v>
      </c>
      <c r="L68">
        <v>0</v>
      </c>
      <c r="M68" t="s">
        <v>23</v>
      </c>
      <c r="N68" t="s">
        <v>24</v>
      </c>
      <c r="P68" t="s">
        <v>153</v>
      </c>
      <c r="R68" t="s">
        <v>154</v>
      </c>
      <c r="S68" t="b">
        <v>1</v>
      </c>
      <c r="T68" t="s">
        <v>155</v>
      </c>
    </row>
    <row r="69" spans="1:20" x14ac:dyDescent="0.2">
      <c r="A69" t="s">
        <v>148</v>
      </c>
      <c r="C69" t="s">
        <v>22</v>
      </c>
      <c r="D69" s="1">
        <v>44636.800694444442</v>
      </c>
      <c r="E69">
        <v>4</v>
      </c>
      <c r="F69">
        <v>0</v>
      </c>
      <c r="G69" t="s">
        <v>23</v>
      </c>
      <c r="H69" t="s">
        <v>422</v>
      </c>
      <c r="I69">
        <v>4</v>
      </c>
      <c r="J69">
        <v>0</v>
      </c>
      <c r="K69">
        <v>0.42</v>
      </c>
      <c r="L69">
        <v>0</v>
      </c>
      <c r="M69" t="s">
        <v>23</v>
      </c>
      <c r="N69" t="s">
        <v>24</v>
      </c>
      <c r="P69" t="s">
        <v>149</v>
      </c>
      <c r="R69" t="s">
        <v>150</v>
      </c>
      <c r="S69" t="b">
        <v>1</v>
      </c>
      <c r="T69" t="s">
        <v>151</v>
      </c>
    </row>
    <row r="70" spans="1:20" x14ac:dyDescent="0.2">
      <c r="A70" t="s">
        <v>144</v>
      </c>
      <c r="C70" t="s">
        <v>22</v>
      </c>
      <c r="D70" s="1">
        <v>44636.809027777781</v>
      </c>
      <c r="E70">
        <v>5</v>
      </c>
      <c r="F70">
        <v>0</v>
      </c>
      <c r="G70" t="s">
        <v>23</v>
      </c>
      <c r="I70">
        <v>5</v>
      </c>
      <c r="J70">
        <v>0</v>
      </c>
      <c r="K70">
        <v>0.45</v>
      </c>
      <c r="L70">
        <v>0</v>
      </c>
      <c r="M70" t="s">
        <v>23</v>
      </c>
      <c r="N70" t="s">
        <v>24</v>
      </c>
      <c r="P70" t="s">
        <v>145</v>
      </c>
      <c r="R70" t="s">
        <v>146</v>
      </c>
      <c r="S70" t="b">
        <v>1</v>
      </c>
      <c r="T70" t="s">
        <v>147</v>
      </c>
    </row>
    <row r="71" spans="1:20" x14ac:dyDescent="0.2">
      <c r="A71" t="s">
        <v>140</v>
      </c>
      <c r="C71" t="s">
        <v>22</v>
      </c>
      <c r="D71" s="1">
        <v>44636.819444444445</v>
      </c>
      <c r="E71">
        <v>5</v>
      </c>
      <c r="F71">
        <v>0</v>
      </c>
      <c r="G71" t="s">
        <v>23</v>
      </c>
      <c r="I71">
        <v>5</v>
      </c>
      <c r="J71">
        <v>0</v>
      </c>
      <c r="K71">
        <v>0.45</v>
      </c>
      <c r="L71">
        <v>0</v>
      </c>
      <c r="M71" t="s">
        <v>23</v>
      </c>
      <c r="N71" t="s">
        <v>24</v>
      </c>
      <c r="P71" t="s">
        <v>141</v>
      </c>
      <c r="R71" t="s">
        <v>142</v>
      </c>
      <c r="S71" t="b">
        <v>1</v>
      </c>
      <c r="T71" t="s">
        <v>143</v>
      </c>
    </row>
    <row r="72" spans="1:20" x14ac:dyDescent="0.2">
      <c r="A72" t="s">
        <v>136</v>
      </c>
      <c r="C72" t="s">
        <v>22</v>
      </c>
      <c r="D72" s="1">
        <v>44636.901388888888</v>
      </c>
      <c r="E72">
        <v>5</v>
      </c>
      <c r="F72">
        <v>0</v>
      </c>
      <c r="G72" t="s">
        <v>23</v>
      </c>
      <c r="I72">
        <v>5</v>
      </c>
      <c r="J72">
        <v>0</v>
      </c>
      <c r="K72">
        <v>0.45</v>
      </c>
      <c r="L72">
        <v>0</v>
      </c>
      <c r="M72" t="s">
        <v>23</v>
      </c>
      <c r="N72" t="s">
        <v>24</v>
      </c>
      <c r="P72" t="s">
        <v>137</v>
      </c>
      <c r="R72" t="s">
        <v>138</v>
      </c>
      <c r="S72" t="b">
        <v>1</v>
      </c>
      <c r="T72" t="s">
        <v>139</v>
      </c>
    </row>
    <row r="73" spans="1:20" x14ac:dyDescent="0.2">
      <c r="A73" t="s">
        <v>132</v>
      </c>
      <c r="C73" t="s">
        <v>22</v>
      </c>
      <c r="D73" s="1">
        <v>44636.972222222219</v>
      </c>
      <c r="E73">
        <v>4</v>
      </c>
      <c r="F73">
        <v>0</v>
      </c>
      <c r="G73" t="s">
        <v>23</v>
      </c>
      <c r="H73" t="s">
        <v>422</v>
      </c>
      <c r="I73">
        <v>4</v>
      </c>
      <c r="J73">
        <v>0</v>
      </c>
      <c r="K73">
        <v>0.42</v>
      </c>
      <c r="L73">
        <v>0</v>
      </c>
      <c r="M73" t="s">
        <v>23</v>
      </c>
      <c r="N73" t="s">
        <v>24</v>
      </c>
      <c r="P73" t="s">
        <v>133</v>
      </c>
      <c r="R73" t="s">
        <v>134</v>
      </c>
      <c r="S73" t="b">
        <v>1</v>
      </c>
      <c r="T73" t="s">
        <v>135</v>
      </c>
    </row>
    <row r="74" spans="1:20" x14ac:dyDescent="0.2">
      <c r="A74" t="s">
        <v>128</v>
      </c>
      <c r="C74" t="s">
        <v>22</v>
      </c>
      <c r="D74" s="1">
        <v>44637.009027777778</v>
      </c>
      <c r="E74">
        <v>5</v>
      </c>
      <c r="F74">
        <v>0</v>
      </c>
      <c r="G74" t="s">
        <v>23</v>
      </c>
      <c r="I74">
        <v>5</v>
      </c>
      <c r="J74">
        <v>0</v>
      </c>
      <c r="K74">
        <v>0.45</v>
      </c>
      <c r="L74">
        <v>0</v>
      </c>
      <c r="M74" t="s">
        <v>23</v>
      </c>
      <c r="N74" t="s">
        <v>24</v>
      </c>
      <c r="P74" t="s">
        <v>129</v>
      </c>
      <c r="R74" t="s">
        <v>130</v>
      </c>
      <c r="S74" t="b">
        <v>1</v>
      </c>
      <c r="T74" t="s">
        <v>131</v>
      </c>
    </row>
    <row r="75" spans="1:20" x14ac:dyDescent="0.2">
      <c r="A75" t="s">
        <v>124</v>
      </c>
      <c r="C75" t="s">
        <v>22</v>
      </c>
      <c r="D75" s="1">
        <v>44637.025000000001</v>
      </c>
      <c r="E75">
        <v>5</v>
      </c>
      <c r="F75">
        <v>0</v>
      </c>
      <c r="G75" t="s">
        <v>23</v>
      </c>
      <c r="I75">
        <v>5</v>
      </c>
      <c r="J75">
        <v>0</v>
      </c>
      <c r="K75">
        <v>0.45</v>
      </c>
      <c r="L75">
        <v>0</v>
      </c>
      <c r="M75" t="s">
        <v>23</v>
      </c>
      <c r="N75" t="s">
        <v>24</v>
      </c>
      <c r="P75" t="s">
        <v>125</v>
      </c>
      <c r="R75" t="s">
        <v>126</v>
      </c>
      <c r="S75" t="b">
        <v>1</v>
      </c>
      <c r="T75" t="s">
        <v>127</v>
      </c>
    </row>
    <row r="76" spans="1:20" x14ac:dyDescent="0.2">
      <c r="A76" t="s">
        <v>120</v>
      </c>
      <c r="C76" t="s">
        <v>22</v>
      </c>
      <c r="D76" s="1">
        <v>44637.044444444444</v>
      </c>
      <c r="E76">
        <v>5</v>
      </c>
      <c r="F76">
        <v>0</v>
      </c>
      <c r="G76" t="s">
        <v>23</v>
      </c>
      <c r="I76">
        <v>5</v>
      </c>
      <c r="J76">
        <v>0</v>
      </c>
      <c r="K76">
        <v>0.45</v>
      </c>
      <c r="L76">
        <v>0</v>
      </c>
      <c r="M76" t="s">
        <v>23</v>
      </c>
      <c r="N76" t="s">
        <v>24</v>
      </c>
      <c r="P76" t="s">
        <v>121</v>
      </c>
      <c r="R76" t="s">
        <v>122</v>
      </c>
      <c r="S76" t="b">
        <v>1</v>
      </c>
      <c r="T76" t="s">
        <v>123</v>
      </c>
    </row>
    <row r="77" spans="1:20" x14ac:dyDescent="0.2">
      <c r="A77" t="s">
        <v>116</v>
      </c>
      <c r="C77" t="s">
        <v>22</v>
      </c>
      <c r="D77" s="1">
        <v>44637.05</v>
      </c>
      <c r="E77">
        <v>5</v>
      </c>
      <c r="F77">
        <v>0</v>
      </c>
      <c r="G77" t="s">
        <v>23</v>
      </c>
      <c r="I77">
        <v>5</v>
      </c>
      <c r="J77">
        <v>0</v>
      </c>
      <c r="K77">
        <v>0.45</v>
      </c>
      <c r="L77">
        <v>0</v>
      </c>
      <c r="M77" t="s">
        <v>23</v>
      </c>
      <c r="N77" t="s">
        <v>24</v>
      </c>
      <c r="P77" t="s">
        <v>117</v>
      </c>
      <c r="R77" t="s">
        <v>118</v>
      </c>
      <c r="S77" t="b">
        <v>1</v>
      </c>
      <c r="T77" t="s">
        <v>119</v>
      </c>
    </row>
    <row r="78" spans="1:20" x14ac:dyDescent="0.2">
      <c r="A78" t="s">
        <v>112</v>
      </c>
      <c r="C78" t="s">
        <v>22</v>
      </c>
      <c r="D78" s="1">
        <v>44637.056944444441</v>
      </c>
      <c r="E78">
        <v>5</v>
      </c>
      <c r="F78">
        <v>0</v>
      </c>
      <c r="G78" t="s">
        <v>23</v>
      </c>
      <c r="I78">
        <v>5</v>
      </c>
      <c r="J78">
        <v>0</v>
      </c>
      <c r="K78">
        <v>0.45</v>
      </c>
      <c r="L78">
        <v>0</v>
      </c>
      <c r="M78" t="s">
        <v>23</v>
      </c>
      <c r="N78" t="s">
        <v>24</v>
      </c>
      <c r="P78" t="s">
        <v>113</v>
      </c>
      <c r="R78" t="s">
        <v>114</v>
      </c>
      <c r="S78" t="b">
        <v>1</v>
      </c>
      <c r="T78" t="s">
        <v>115</v>
      </c>
    </row>
    <row r="79" spans="1:20" x14ac:dyDescent="0.2">
      <c r="A79" t="s">
        <v>108</v>
      </c>
      <c r="C79" t="s">
        <v>22</v>
      </c>
      <c r="D79" s="1">
        <v>44637.063194444447</v>
      </c>
      <c r="E79">
        <v>5</v>
      </c>
      <c r="F79">
        <v>0</v>
      </c>
      <c r="G79" t="s">
        <v>23</v>
      </c>
      <c r="I79">
        <v>5</v>
      </c>
      <c r="J79">
        <v>0</v>
      </c>
      <c r="K79">
        <v>0.45</v>
      </c>
      <c r="L79">
        <v>0</v>
      </c>
      <c r="M79" t="s">
        <v>23</v>
      </c>
      <c r="N79" t="s">
        <v>24</v>
      </c>
      <c r="P79" t="s">
        <v>109</v>
      </c>
      <c r="R79" t="s">
        <v>110</v>
      </c>
      <c r="S79" t="b">
        <v>1</v>
      </c>
      <c r="T79" t="s">
        <v>111</v>
      </c>
    </row>
    <row r="80" spans="1:20" x14ac:dyDescent="0.2">
      <c r="A80" t="s">
        <v>104</v>
      </c>
      <c r="C80" t="s">
        <v>22</v>
      </c>
      <c r="D80" s="1">
        <v>44637.07708333333</v>
      </c>
      <c r="E80">
        <v>5</v>
      </c>
      <c r="F80">
        <v>0</v>
      </c>
      <c r="G80" t="s">
        <v>23</v>
      </c>
      <c r="I80">
        <v>5</v>
      </c>
      <c r="J80">
        <v>0</v>
      </c>
      <c r="K80">
        <v>0.45</v>
      </c>
      <c r="L80">
        <v>0</v>
      </c>
      <c r="M80" t="s">
        <v>23</v>
      </c>
      <c r="N80" t="s">
        <v>24</v>
      </c>
      <c r="P80" t="s">
        <v>105</v>
      </c>
      <c r="R80" t="s">
        <v>106</v>
      </c>
      <c r="S80" t="b">
        <v>1</v>
      </c>
      <c r="T80" t="s">
        <v>107</v>
      </c>
    </row>
    <row r="81" spans="1:20" x14ac:dyDescent="0.2">
      <c r="A81" t="s">
        <v>100</v>
      </c>
      <c r="C81" t="s">
        <v>22</v>
      </c>
      <c r="D81" s="1">
        <v>44637.081250000003</v>
      </c>
      <c r="E81">
        <v>5</v>
      </c>
      <c r="F81">
        <v>0</v>
      </c>
      <c r="G81" t="s">
        <v>23</v>
      </c>
      <c r="I81">
        <v>5</v>
      </c>
      <c r="J81">
        <v>0</v>
      </c>
      <c r="K81">
        <v>0.45</v>
      </c>
      <c r="L81">
        <v>0</v>
      </c>
      <c r="M81" t="s">
        <v>23</v>
      </c>
      <c r="N81" t="s">
        <v>24</v>
      </c>
      <c r="P81" t="s">
        <v>101</v>
      </c>
      <c r="R81" t="s">
        <v>102</v>
      </c>
      <c r="S81" t="b">
        <v>1</v>
      </c>
      <c r="T81" t="s">
        <v>103</v>
      </c>
    </row>
    <row r="82" spans="1:20" x14ac:dyDescent="0.2">
      <c r="A82" t="s">
        <v>96</v>
      </c>
      <c r="C82" t="s">
        <v>22</v>
      </c>
      <c r="D82" s="1">
        <v>44637.090277777781</v>
      </c>
      <c r="E82">
        <v>5</v>
      </c>
      <c r="F82">
        <v>0</v>
      </c>
      <c r="G82" t="s">
        <v>23</v>
      </c>
      <c r="I82">
        <v>5</v>
      </c>
      <c r="J82">
        <v>0</v>
      </c>
      <c r="K82">
        <v>0.45</v>
      </c>
      <c r="L82">
        <v>0</v>
      </c>
      <c r="M82" t="s">
        <v>23</v>
      </c>
      <c r="N82" t="s">
        <v>24</v>
      </c>
      <c r="P82" t="s">
        <v>97</v>
      </c>
      <c r="R82" t="s">
        <v>98</v>
      </c>
      <c r="S82" t="b">
        <v>1</v>
      </c>
      <c r="T82" t="s">
        <v>99</v>
      </c>
    </row>
    <row r="83" spans="1:20" x14ac:dyDescent="0.2">
      <c r="A83" t="s">
        <v>92</v>
      </c>
      <c r="C83" t="s">
        <v>22</v>
      </c>
      <c r="D83" s="1">
        <v>44637.09097222222</v>
      </c>
      <c r="E83">
        <v>5</v>
      </c>
      <c r="F83">
        <v>0</v>
      </c>
      <c r="G83" t="s">
        <v>23</v>
      </c>
      <c r="I83">
        <v>5</v>
      </c>
      <c r="J83">
        <v>0</v>
      </c>
      <c r="K83">
        <v>0.45</v>
      </c>
      <c r="L83">
        <v>0</v>
      </c>
      <c r="M83" t="s">
        <v>23</v>
      </c>
      <c r="N83" t="s">
        <v>24</v>
      </c>
      <c r="P83" t="s">
        <v>93</v>
      </c>
      <c r="R83" t="s">
        <v>94</v>
      </c>
      <c r="S83" t="b">
        <v>1</v>
      </c>
      <c r="T83" t="s">
        <v>95</v>
      </c>
    </row>
    <row r="84" spans="1:20" x14ac:dyDescent="0.2">
      <c r="A84" t="s">
        <v>88</v>
      </c>
      <c r="C84" t="s">
        <v>22</v>
      </c>
      <c r="D84" s="1">
        <v>44637.097222222219</v>
      </c>
      <c r="E84">
        <v>5</v>
      </c>
      <c r="F84">
        <v>0</v>
      </c>
      <c r="G84" t="s">
        <v>23</v>
      </c>
      <c r="I84">
        <v>5</v>
      </c>
      <c r="J84">
        <v>0</v>
      </c>
      <c r="K84">
        <v>0.45</v>
      </c>
      <c r="L84">
        <v>0</v>
      </c>
      <c r="M84" t="s">
        <v>23</v>
      </c>
      <c r="N84" t="s">
        <v>24</v>
      </c>
      <c r="P84" t="s">
        <v>89</v>
      </c>
      <c r="R84" t="s">
        <v>90</v>
      </c>
      <c r="S84" t="b">
        <v>1</v>
      </c>
      <c r="T84" t="s">
        <v>91</v>
      </c>
    </row>
    <row r="85" spans="1:20" x14ac:dyDescent="0.2">
      <c r="A85" t="s">
        <v>84</v>
      </c>
      <c r="C85" t="s">
        <v>22</v>
      </c>
      <c r="D85" s="1">
        <v>44637.114583333336</v>
      </c>
      <c r="E85">
        <v>5</v>
      </c>
      <c r="F85">
        <v>0</v>
      </c>
      <c r="G85" t="s">
        <v>23</v>
      </c>
      <c r="I85">
        <v>5</v>
      </c>
      <c r="J85">
        <v>0</v>
      </c>
      <c r="K85">
        <v>0.45</v>
      </c>
      <c r="L85">
        <v>0</v>
      </c>
      <c r="M85" t="s">
        <v>23</v>
      </c>
      <c r="N85" t="s">
        <v>24</v>
      </c>
      <c r="P85" t="s">
        <v>85</v>
      </c>
      <c r="R85" t="s">
        <v>86</v>
      </c>
      <c r="S85" t="b">
        <v>1</v>
      </c>
      <c r="T85" t="s">
        <v>87</v>
      </c>
    </row>
    <row r="86" spans="1:20" x14ac:dyDescent="0.2">
      <c r="A86" t="s">
        <v>80</v>
      </c>
      <c r="C86" t="s">
        <v>22</v>
      </c>
      <c r="D86" s="1">
        <v>44637.118750000001</v>
      </c>
      <c r="E86">
        <v>5</v>
      </c>
      <c r="F86">
        <v>0</v>
      </c>
      <c r="G86" t="s">
        <v>23</v>
      </c>
      <c r="I86">
        <v>5</v>
      </c>
      <c r="J86">
        <v>0</v>
      </c>
      <c r="K86">
        <v>0.45</v>
      </c>
      <c r="L86">
        <v>0</v>
      </c>
      <c r="M86" t="s">
        <v>23</v>
      </c>
      <c r="N86" t="s">
        <v>24</v>
      </c>
      <c r="P86" t="s">
        <v>81</v>
      </c>
      <c r="R86" t="s">
        <v>82</v>
      </c>
      <c r="S86" t="b">
        <v>1</v>
      </c>
      <c r="T86" t="s">
        <v>83</v>
      </c>
    </row>
    <row r="87" spans="1:20" x14ac:dyDescent="0.2">
      <c r="A87" t="s">
        <v>76</v>
      </c>
      <c r="C87" t="s">
        <v>22</v>
      </c>
      <c r="D87" s="1">
        <v>44637.152777777781</v>
      </c>
      <c r="E87">
        <v>5</v>
      </c>
      <c r="F87">
        <v>0</v>
      </c>
      <c r="G87" t="s">
        <v>23</v>
      </c>
      <c r="I87">
        <v>5</v>
      </c>
      <c r="J87">
        <v>0</v>
      </c>
      <c r="K87">
        <v>0.45</v>
      </c>
      <c r="L87">
        <v>0</v>
      </c>
      <c r="M87" t="s">
        <v>23</v>
      </c>
      <c r="N87" t="s">
        <v>24</v>
      </c>
      <c r="P87" t="s">
        <v>77</v>
      </c>
      <c r="R87" t="s">
        <v>78</v>
      </c>
      <c r="S87" t="b">
        <v>1</v>
      </c>
      <c r="T87" t="s">
        <v>79</v>
      </c>
    </row>
    <row r="88" spans="1:20" x14ac:dyDescent="0.2">
      <c r="A88" t="s">
        <v>72</v>
      </c>
      <c r="C88" t="s">
        <v>22</v>
      </c>
      <c r="D88" s="1">
        <v>44637.201388888891</v>
      </c>
      <c r="E88">
        <v>4</v>
      </c>
      <c r="F88">
        <v>0</v>
      </c>
      <c r="G88" t="s">
        <v>23</v>
      </c>
      <c r="H88" t="s">
        <v>422</v>
      </c>
      <c r="I88">
        <v>4</v>
      </c>
      <c r="J88">
        <v>0</v>
      </c>
      <c r="K88">
        <v>0.42</v>
      </c>
      <c r="L88">
        <v>0</v>
      </c>
      <c r="M88" t="s">
        <v>23</v>
      </c>
      <c r="N88" t="s">
        <v>24</v>
      </c>
      <c r="P88" t="s">
        <v>73</v>
      </c>
      <c r="R88" t="s">
        <v>74</v>
      </c>
      <c r="S88" t="b">
        <v>1</v>
      </c>
      <c r="T88" t="s">
        <v>75</v>
      </c>
    </row>
    <row r="89" spans="1:20" x14ac:dyDescent="0.2">
      <c r="A89" t="s">
        <v>68</v>
      </c>
      <c r="C89" t="s">
        <v>22</v>
      </c>
      <c r="D89" s="1">
        <v>44637.284722222219</v>
      </c>
      <c r="E89">
        <v>5</v>
      </c>
      <c r="F89">
        <v>0</v>
      </c>
      <c r="G89" t="s">
        <v>23</v>
      </c>
      <c r="I89">
        <v>5</v>
      </c>
      <c r="J89">
        <v>0</v>
      </c>
      <c r="K89">
        <v>0.45</v>
      </c>
      <c r="L89">
        <v>0</v>
      </c>
      <c r="M89" t="s">
        <v>23</v>
      </c>
      <c r="N89" t="s">
        <v>24</v>
      </c>
      <c r="P89" t="s">
        <v>69</v>
      </c>
      <c r="R89" t="s">
        <v>70</v>
      </c>
      <c r="S89" t="b">
        <v>1</v>
      </c>
      <c r="T89" t="s">
        <v>71</v>
      </c>
    </row>
    <row r="90" spans="1:20" x14ac:dyDescent="0.2">
      <c r="A90" t="s">
        <v>64</v>
      </c>
      <c r="C90" t="s">
        <v>22</v>
      </c>
      <c r="D90" s="1">
        <v>44637.413194444445</v>
      </c>
      <c r="E90">
        <v>5</v>
      </c>
      <c r="F90">
        <v>0</v>
      </c>
      <c r="G90" t="s">
        <v>23</v>
      </c>
      <c r="I90">
        <v>5</v>
      </c>
      <c r="J90">
        <v>0</v>
      </c>
      <c r="K90">
        <v>0.45</v>
      </c>
      <c r="L90">
        <v>0</v>
      </c>
      <c r="M90" t="s">
        <v>23</v>
      </c>
      <c r="N90" t="s">
        <v>24</v>
      </c>
      <c r="P90" t="s">
        <v>65</v>
      </c>
      <c r="R90" t="s">
        <v>66</v>
      </c>
      <c r="S90" t="b">
        <v>1</v>
      </c>
      <c r="T90" t="s">
        <v>67</v>
      </c>
    </row>
    <row r="91" spans="1:20" x14ac:dyDescent="0.2">
      <c r="A91" t="s">
        <v>60</v>
      </c>
      <c r="C91" t="s">
        <v>22</v>
      </c>
      <c r="D91" s="1">
        <v>44637.474999999999</v>
      </c>
      <c r="E91">
        <v>5</v>
      </c>
      <c r="F91">
        <v>0</v>
      </c>
      <c r="G91" t="s">
        <v>23</v>
      </c>
      <c r="I91">
        <v>5</v>
      </c>
      <c r="J91">
        <v>0</v>
      </c>
      <c r="K91">
        <v>0.45</v>
      </c>
      <c r="L91">
        <v>0</v>
      </c>
      <c r="M91" t="s">
        <v>23</v>
      </c>
      <c r="N91" t="s">
        <v>24</v>
      </c>
      <c r="P91" t="s">
        <v>61</v>
      </c>
      <c r="R91" t="s">
        <v>62</v>
      </c>
      <c r="S91" t="b">
        <v>1</v>
      </c>
      <c r="T91" t="s">
        <v>63</v>
      </c>
    </row>
    <row r="92" spans="1:20" x14ac:dyDescent="0.2">
      <c r="A92" t="s">
        <v>56</v>
      </c>
      <c r="C92" t="s">
        <v>22</v>
      </c>
      <c r="D92" s="1">
        <v>44637.584722222222</v>
      </c>
      <c r="E92">
        <v>5</v>
      </c>
      <c r="F92">
        <v>0</v>
      </c>
      <c r="G92" t="s">
        <v>23</v>
      </c>
      <c r="I92">
        <v>5</v>
      </c>
      <c r="J92">
        <v>0</v>
      </c>
      <c r="K92">
        <v>0.45</v>
      </c>
      <c r="L92">
        <v>0</v>
      </c>
      <c r="M92" t="s">
        <v>23</v>
      </c>
      <c r="N92" t="s">
        <v>24</v>
      </c>
      <c r="P92" t="s">
        <v>57</v>
      </c>
      <c r="R92" t="s">
        <v>58</v>
      </c>
      <c r="S92" t="b">
        <v>1</v>
      </c>
      <c r="T92" t="s">
        <v>59</v>
      </c>
    </row>
    <row r="93" spans="1:20" x14ac:dyDescent="0.2">
      <c r="A93" t="s">
        <v>52</v>
      </c>
      <c r="C93" t="s">
        <v>22</v>
      </c>
      <c r="D93" s="1">
        <v>44637.593055555553</v>
      </c>
      <c r="E93">
        <v>4</v>
      </c>
      <c r="F93">
        <v>0</v>
      </c>
      <c r="G93" t="s">
        <v>23</v>
      </c>
      <c r="H93" t="s">
        <v>423</v>
      </c>
      <c r="I93">
        <v>4</v>
      </c>
      <c r="J93">
        <v>0</v>
      </c>
      <c r="K93">
        <v>0.42</v>
      </c>
      <c r="L93">
        <v>0</v>
      </c>
      <c r="M93" t="s">
        <v>23</v>
      </c>
      <c r="N93" t="s">
        <v>24</v>
      </c>
      <c r="P93" t="s">
        <v>53</v>
      </c>
      <c r="R93" t="s">
        <v>54</v>
      </c>
      <c r="S93" t="b">
        <v>1</v>
      </c>
      <c r="T93" t="s">
        <v>55</v>
      </c>
    </row>
    <row r="94" spans="1:20" x14ac:dyDescent="0.2">
      <c r="A94" t="s">
        <v>48</v>
      </c>
      <c r="C94" t="s">
        <v>22</v>
      </c>
      <c r="D94" s="1">
        <v>44637.597916666666</v>
      </c>
      <c r="E94">
        <v>5</v>
      </c>
      <c r="F94">
        <v>0</v>
      </c>
      <c r="G94" t="s">
        <v>23</v>
      </c>
      <c r="I94">
        <v>5</v>
      </c>
      <c r="J94">
        <v>0</v>
      </c>
      <c r="K94">
        <v>0.45</v>
      </c>
      <c r="L94">
        <v>0</v>
      </c>
      <c r="M94" t="s">
        <v>23</v>
      </c>
      <c r="N94" t="s">
        <v>24</v>
      </c>
      <c r="P94" t="s">
        <v>49</v>
      </c>
      <c r="R94" t="s">
        <v>50</v>
      </c>
      <c r="S94" t="b">
        <v>1</v>
      </c>
      <c r="T94" t="s">
        <v>51</v>
      </c>
    </row>
    <row r="95" spans="1:20" x14ac:dyDescent="0.2">
      <c r="A95" t="s">
        <v>44</v>
      </c>
      <c r="C95" t="s">
        <v>22</v>
      </c>
      <c r="D95" s="1">
        <v>44637.601388888892</v>
      </c>
      <c r="E95">
        <v>4</v>
      </c>
      <c r="F95">
        <v>0</v>
      </c>
      <c r="G95" t="s">
        <v>23</v>
      </c>
      <c r="H95" t="s">
        <v>422</v>
      </c>
      <c r="I95">
        <v>4</v>
      </c>
      <c r="J95">
        <v>0</v>
      </c>
      <c r="K95">
        <v>0.42</v>
      </c>
      <c r="L95">
        <v>0</v>
      </c>
      <c r="M95" t="s">
        <v>23</v>
      </c>
      <c r="N95" t="s">
        <v>24</v>
      </c>
      <c r="P95" t="s">
        <v>45</v>
      </c>
      <c r="R95" t="s">
        <v>46</v>
      </c>
      <c r="S95" t="b">
        <v>1</v>
      </c>
      <c r="T95" t="s">
        <v>47</v>
      </c>
    </row>
    <row r="96" spans="1:20" x14ac:dyDescent="0.2">
      <c r="A96" t="s">
        <v>40</v>
      </c>
      <c r="C96" t="s">
        <v>22</v>
      </c>
      <c r="D96" s="1">
        <v>44637.611111111109</v>
      </c>
      <c r="E96">
        <v>5</v>
      </c>
      <c r="F96">
        <v>0</v>
      </c>
      <c r="G96" t="s">
        <v>23</v>
      </c>
      <c r="I96">
        <v>5</v>
      </c>
      <c r="J96">
        <v>0</v>
      </c>
      <c r="K96">
        <v>0.45</v>
      </c>
      <c r="L96">
        <v>0</v>
      </c>
      <c r="M96" t="s">
        <v>23</v>
      </c>
      <c r="N96" t="s">
        <v>24</v>
      </c>
      <c r="P96" t="s">
        <v>41</v>
      </c>
      <c r="R96" t="s">
        <v>42</v>
      </c>
      <c r="S96" t="b">
        <v>1</v>
      </c>
      <c r="T96" t="s">
        <v>43</v>
      </c>
    </row>
    <row r="97" spans="1:20" x14ac:dyDescent="0.2">
      <c r="A97" t="s">
        <v>36</v>
      </c>
      <c r="C97" t="s">
        <v>22</v>
      </c>
      <c r="D97" s="1">
        <v>44637.623611111114</v>
      </c>
      <c r="E97">
        <v>5</v>
      </c>
      <c r="F97">
        <v>0</v>
      </c>
      <c r="G97" t="s">
        <v>23</v>
      </c>
      <c r="I97">
        <v>5</v>
      </c>
      <c r="J97">
        <v>0</v>
      </c>
      <c r="K97">
        <v>0.45</v>
      </c>
      <c r="L97">
        <v>0</v>
      </c>
      <c r="M97" t="s">
        <v>23</v>
      </c>
      <c r="N97" t="s">
        <v>24</v>
      </c>
      <c r="P97" t="s">
        <v>37</v>
      </c>
      <c r="R97" t="s">
        <v>38</v>
      </c>
      <c r="S97" t="b">
        <v>1</v>
      </c>
      <c r="T97" t="s">
        <v>39</v>
      </c>
    </row>
    <row r="98" spans="1:20" x14ac:dyDescent="0.2">
      <c r="A98" t="s">
        <v>32</v>
      </c>
      <c r="C98" t="s">
        <v>22</v>
      </c>
      <c r="D98" s="1">
        <v>44637.628472222219</v>
      </c>
      <c r="E98">
        <v>4</v>
      </c>
      <c r="F98">
        <v>0</v>
      </c>
      <c r="G98" t="s">
        <v>23</v>
      </c>
      <c r="H98" t="s">
        <v>422</v>
      </c>
      <c r="I98">
        <v>4</v>
      </c>
      <c r="J98">
        <v>0</v>
      </c>
      <c r="K98">
        <v>0.42</v>
      </c>
      <c r="L98">
        <v>0</v>
      </c>
      <c r="M98" t="s">
        <v>23</v>
      </c>
      <c r="N98" t="s">
        <v>24</v>
      </c>
      <c r="P98" t="s">
        <v>33</v>
      </c>
      <c r="R98" t="s">
        <v>34</v>
      </c>
      <c r="S98" t="b">
        <v>1</v>
      </c>
      <c r="T98" t="s">
        <v>35</v>
      </c>
    </row>
    <row r="99" spans="1:20" x14ac:dyDescent="0.2">
      <c r="A99" t="s">
        <v>28</v>
      </c>
      <c r="C99" t="s">
        <v>22</v>
      </c>
      <c r="D99" s="1">
        <v>44637.631944444445</v>
      </c>
      <c r="E99">
        <v>5</v>
      </c>
      <c r="F99">
        <v>0</v>
      </c>
      <c r="G99" t="s">
        <v>23</v>
      </c>
      <c r="I99">
        <v>5</v>
      </c>
      <c r="J99">
        <v>0</v>
      </c>
      <c r="K99">
        <v>0.45</v>
      </c>
      <c r="L99">
        <v>0</v>
      </c>
      <c r="M99" t="s">
        <v>23</v>
      </c>
      <c r="N99" t="s">
        <v>24</v>
      </c>
      <c r="P99" t="s">
        <v>29</v>
      </c>
      <c r="R99" t="s">
        <v>30</v>
      </c>
      <c r="S99" t="b">
        <v>1</v>
      </c>
      <c r="T99" t="s">
        <v>31</v>
      </c>
    </row>
    <row r="100" spans="1:20" x14ac:dyDescent="0.2">
      <c r="A100" t="s">
        <v>21</v>
      </c>
      <c r="C100" t="s">
        <v>22</v>
      </c>
      <c r="D100" s="1">
        <v>44637.696527777778</v>
      </c>
      <c r="E100">
        <v>5</v>
      </c>
      <c r="F100">
        <v>0</v>
      </c>
      <c r="G100" t="s">
        <v>23</v>
      </c>
      <c r="I100">
        <v>5</v>
      </c>
      <c r="J100">
        <v>0</v>
      </c>
      <c r="K100">
        <v>0.45</v>
      </c>
      <c r="L100">
        <v>0</v>
      </c>
      <c r="M100" t="s">
        <v>23</v>
      </c>
      <c r="N100" t="s">
        <v>24</v>
      </c>
      <c r="P100" t="s">
        <v>25</v>
      </c>
      <c r="R100" t="s">
        <v>26</v>
      </c>
      <c r="S100" t="b">
        <v>1</v>
      </c>
      <c r="T100" t="s">
        <v>27</v>
      </c>
    </row>
  </sheetData>
  <autoFilter ref="A1:V100" xr:uid="{00000000-0009-0000-0000-000001000000}">
    <sortState xmlns:xlrd2="http://schemas.microsoft.com/office/spreadsheetml/2017/richdata2" ref="A2:V100">
      <sortCondition ref="D1:D100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/>
  </sheetViews>
  <sheetFormatPr baseColWidth="10" defaultColWidth="8.83203125" defaultRowHeight="15" x14ac:dyDescent="0.2"/>
  <cols>
    <col min="1" max="1" width="30.6640625" bestFit="1" customWidth="1"/>
    <col min="2" max="2" width="12.5" bestFit="1" customWidth="1"/>
    <col min="3" max="3" width="17" bestFit="1" customWidth="1"/>
    <col min="4" max="4" width="14.5" bestFit="1" customWidth="1"/>
    <col min="5" max="5" width="14.5" customWidth="1"/>
    <col min="6" max="6" width="7.5" bestFit="1" customWidth="1"/>
    <col min="7" max="7" width="16.1640625" bestFit="1" customWidth="1"/>
    <col min="8" max="8" width="8.33203125" bestFit="1" customWidth="1"/>
    <col min="9" max="9" width="14.1640625" bestFit="1" customWidth="1"/>
    <col min="10" max="10" width="16.6640625" bestFit="1" customWidth="1"/>
    <col min="11" max="11" width="25.5" bestFit="1" customWidth="1"/>
    <col min="12" max="12" width="4.83203125" bestFit="1" customWidth="1"/>
    <col min="13" max="13" width="3.6640625" bestFit="1" customWidth="1"/>
    <col min="14" max="14" width="17.5" bestFit="1" customWidth="1"/>
    <col min="15" max="15" width="5.83203125" bestFit="1" customWidth="1"/>
    <col min="16" max="16" width="18.6640625" bestFit="1" customWidth="1"/>
    <col min="17" max="17" width="20.83203125" bestFit="1" customWidth="1"/>
    <col min="18" max="18" width="19" bestFit="1" customWidth="1"/>
    <col min="19" max="19" width="37.1640625" bestFit="1" customWidth="1"/>
    <col min="20" max="20" width="8.5" bestFit="1" customWidth="1"/>
    <col min="21" max="21" width="31.83203125" bestFit="1" customWidth="1"/>
    <col min="22" max="22" width="9" bestFit="1" customWidth="1"/>
  </cols>
  <sheetData>
    <row r="1" spans="1:22" x14ac:dyDescent="0.2">
      <c r="A1" t="s">
        <v>0</v>
      </c>
      <c r="B1" t="s">
        <v>656</v>
      </c>
      <c r="C1" t="s">
        <v>655</v>
      </c>
      <c r="D1" t="s">
        <v>654</v>
      </c>
      <c r="E1" t="s">
        <v>420</v>
      </c>
      <c r="F1" t="s">
        <v>653</v>
      </c>
      <c r="G1" t="s">
        <v>652</v>
      </c>
      <c r="H1" t="s">
        <v>651</v>
      </c>
      <c r="I1" t="s">
        <v>650</v>
      </c>
      <c r="J1" t="s">
        <v>649</v>
      </c>
      <c r="K1" t="s">
        <v>648</v>
      </c>
      <c r="L1" t="s">
        <v>647</v>
      </c>
      <c r="M1" t="s">
        <v>646</v>
      </c>
      <c r="N1" t="s">
        <v>645</v>
      </c>
      <c r="O1" t="s">
        <v>644</v>
      </c>
      <c r="P1" t="s">
        <v>643</v>
      </c>
      <c r="Q1" t="s">
        <v>642</v>
      </c>
      <c r="R1" t="s">
        <v>641</v>
      </c>
      <c r="S1" t="s">
        <v>640</v>
      </c>
      <c r="T1" t="s">
        <v>639</v>
      </c>
      <c r="U1" t="s">
        <v>638</v>
      </c>
      <c r="V1" t="s">
        <v>637</v>
      </c>
    </row>
    <row r="2" spans="1:22" x14ac:dyDescent="0.2">
      <c r="A2" t="s">
        <v>636</v>
      </c>
      <c r="C2" t="s">
        <v>22</v>
      </c>
      <c r="D2" s="1">
        <v>44274.652083333334</v>
      </c>
      <c r="E2" s="1"/>
      <c r="F2">
        <v>5</v>
      </c>
      <c r="G2">
        <v>0</v>
      </c>
      <c r="H2" t="s">
        <v>23</v>
      </c>
      <c r="I2">
        <v>5</v>
      </c>
      <c r="J2">
        <v>0</v>
      </c>
      <c r="K2">
        <v>0.45</v>
      </c>
      <c r="L2">
        <v>0</v>
      </c>
      <c r="M2" t="s">
        <v>23</v>
      </c>
      <c r="N2" t="s">
        <v>24</v>
      </c>
      <c r="P2" t="s">
        <v>635</v>
      </c>
      <c r="R2" t="s">
        <v>634</v>
      </c>
      <c r="S2" t="b">
        <v>1</v>
      </c>
      <c r="T2" t="s">
        <v>633</v>
      </c>
      <c r="V2" t="s">
        <v>429</v>
      </c>
    </row>
    <row r="3" spans="1:22" x14ac:dyDescent="0.2">
      <c r="A3" t="s">
        <v>632</v>
      </c>
      <c r="C3" t="s">
        <v>22</v>
      </c>
      <c r="D3" s="1">
        <v>44274.574305555558</v>
      </c>
      <c r="E3" s="1"/>
      <c r="F3">
        <v>5</v>
      </c>
      <c r="G3">
        <v>0</v>
      </c>
      <c r="H3" t="s">
        <v>23</v>
      </c>
      <c r="I3">
        <v>5</v>
      </c>
      <c r="J3">
        <v>0</v>
      </c>
      <c r="K3">
        <v>0.45</v>
      </c>
      <c r="L3">
        <v>0</v>
      </c>
      <c r="M3" t="s">
        <v>23</v>
      </c>
      <c r="N3" t="s">
        <v>24</v>
      </c>
      <c r="P3" t="s">
        <v>631</v>
      </c>
      <c r="R3" t="s">
        <v>58</v>
      </c>
      <c r="S3" t="b">
        <v>1</v>
      </c>
      <c r="T3" t="s">
        <v>630</v>
      </c>
      <c r="V3" t="s">
        <v>429</v>
      </c>
    </row>
    <row r="4" spans="1:22" x14ac:dyDescent="0.2">
      <c r="A4" t="s">
        <v>629</v>
      </c>
      <c r="C4" t="s">
        <v>22</v>
      </c>
      <c r="D4" s="1">
        <v>44274.56527777778</v>
      </c>
      <c r="E4" s="1"/>
      <c r="F4">
        <v>5</v>
      </c>
      <c r="G4">
        <v>0</v>
      </c>
      <c r="H4" t="s">
        <v>23</v>
      </c>
      <c r="I4">
        <v>5</v>
      </c>
      <c r="J4">
        <v>0</v>
      </c>
      <c r="K4">
        <v>0.45</v>
      </c>
      <c r="L4">
        <v>0</v>
      </c>
      <c r="M4" t="s">
        <v>23</v>
      </c>
      <c r="N4" t="s">
        <v>24</v>
      </c>
      <c r="P4" t="s">
        <v>628</v>
      </c>
      <c r="R4" t="s">
        <v>627</v>
      </c>
      <c r="S4" t="b">
        <v>1</v>
      </c>
      <c r="T4" t="s">
        <v>626</v>
      </c>
      <c r="V4" t="s">
        <v>429</v>
      </c>
    </row>
    <row r="5" spans="1:22" x14ac:dyDescent="0.2">
      <c r="A5" t="s">
        <v>625</v>
      </c>
      <c r="C5" t="s">
        <v>22</v>
      </c>
      <c r="D5" s="1">
        <v>44274.279861111114</v>
      </c>
      <c r="E5" s="1"/>
      <c r="F5">
        <v>5</v>
      </c>
      <c r="G5">
        <v>0</v>
      </c>
      <c r="H5" t="s">
        <v>23</v>
      </c>
      <c r="I5">
        <v>5</v>
      </c>
      <c r="J5">
        <v>0</v>
      </c>
      <c r="K5">
        <v>0.45</v>
      </c>
      <c r="L5">
        <v>0</v>
      </c>
      <c r="M5" t="s">
        <v>23</v>
      </c>
      <c r="N5" t="s">
        <v>24</v>
      </c>
      <c r="P5" t="s">
        <v>624</v>
      </c>
      <c r="R5" t="s">
        <v>623</v>
      </c>
      <c r="S5" t="b">
        <v>1</v>
      </c>
      <c r="T5" t="s">
        <v>622</v>
      </c>
      <c r="V5" t="s">
        <v>429</v>
      </c>
    </row>
    <row r="6" spans="1:22" x14ac:dyDescent="0.2">
      <c r="A6" t="s">
        <v>621</v>
      </c>
      <c r="C6" t="s">
        <v>22</v>
      </c>
      <c r="D6" s="1">
        <v>44274.116666666669</v>
      </c>
      <c r="E6" s="1"/>
      <c r="F6">
        <v>5</v>
      </c>
      <c r="G6">
        <v>0</v>
      </c>
      <c r="H6" t="s">
        <v>23</v>
      </c>
      <c r="I6">
        <v>5</v>
      </c>
      <c r="J6">
        <v>0</v>
      </c>
      <c r="K6">
        <v>0.45</v>
      </c>
      <c r="L6">
        <v>0</v>
      </c>
      <c r="M6" t="s">
        <v>23</v>
      </c>
      <c r="N6" t="s">
        <v>24</v>
      </c>
      <c r="P6" t="s">
        <v>620</v>
      </c>
      <c r="R6" t="s">
        <v>619</v>
      </c>
      <c r="S6" t="b">
        <v>1</v>
      </c>
      <c r="T6" t="s">
        <v>618</v>
      </c>
      <c r="V6" t="s">
        <v>429</v>
      </c>
    </row>
    <row r="7" spans="1:22" x14ac:dyDescent="0.2">
      <c r="A7" t="s">
        <v>617</v>
      </c>
      <c r="C7" t="s">
        <v>22</v>
      </c>
      <c r="D7" s="1">
        <v>44273.811111111114</v>
      </c>
      <c r="E7" s="1"/>
      <c r="F7">
        <v>5</v>
      </c>
      <c r="G7">
        <v>0</v>
      </c>
      <c r="H7" t="s">
        <v>23</v>
      </c>
      <c r="I7">
        <v>5</v>
      </c>
      <c r="J7">
        <v>0</v>
      </c>
      <c r="K7">
        <v>0.45</v>
      </c>
      <c r="L7">
        <v>0</v>
      </c>
      <c r="M7" t="s">
        <v>23</v>
      </c>
      <c r="N7" t="s">
        <v>24</v>
      </c>
      <c r="P7" t="s">
        <v>616</v>
      </c>
      <c r="R7" t="s">
        <v>615</v>
      </c>
      <c r="S7" t="b">
        <v>1</v>
      </c>
      <c r="T7" t="s">
        <v>614</v>
      </c>
      <c r="V7" t="s">
        <v>429</v>
      </c>
    </row>
    <row r="8" spans="1:22" x14ac:dyDescent="0.2">
      <c r="A8" t="s">
        <v>613</v>
      </c>
      <c r="C8" t="s">
        <v>22</v>
      </c>
      <c r="D8" s="1">
        <v>44273.78402777778</v>
      </c>
      <c r="E8" s="1"/>
      <c r="F8">
        <v>5</v>
      </c>
      <c r="G8">
        <v>0</v>
      </c>
      <c r="H8" t="s">
        <v>23</v>
      </c>
      <c r="I8">
        <v>5</v>
      </c>
      <c r="J8">
        <v>0</v>
      </c>
      <c r="K8">
        <v>0.45</v>
      </c>
      <c r="L8">
        <v>0</v>
      </c>
      <c r="M8" t="s">
        <v>23</v>
      </c>
      <c r="N8" t="s">
        <v>24</v>
      </c>
      <c r="P8" t="s">
        <v>612</v>
      </c>
      <c r="R8" t="s">
        <v>611</v>
      </c>
      <c r="S8" t="b">
        <v>1</v>
      </c>
      <c r="T8" t="s">
        <v>610</v>
      </c>
      <c r="V8" t="s">
        <v>429</v>
      </c>
    </row>
    <row r="9" spans="1:22" x14ac:dyDescent="0.2">
      <c r="A9" t="s">
        <v>609</v>
      </c>
      <c r="C9" t="s">
        <v>22</v>
      </c>
      <c r="D9" s="1">
        <v>44273.673611111109</v>
      </c>
      <c r="E9" s="1"/>
      <c r="F9">
        <v>5</v>
      </c>
      <c r="G9">
        <v>0</v>
      </c>
      <c r="H9" t="s">
        <v>23</v>
      </c>
      <c r="I9">
        <v>5</v>
      </c>
      <c r="J9">
        <v>0</v>
      </c>
      <c r="K9">
        <v>0.45</v>
      </c>
      <c r="L9">
        <v>0</v>
      </c>
      <c r="M9" t="s">
        <v>23</v>
      </c>
      <c r="N9" t="s">
        <v>24</v>
      </c>
      <c r="P9" t="s">
        <v>608</v>
      </c>
      <c r="R9" t="s">
        <v>607</v>
      </c>
      <c r="S9" t="b">
        <v>1</v>
      </c>
      <c r="T9" t="s">
        <v>606</v>
      </c>
      <c r="V9" t="s">
        <v>429</v>
      </c>
    </row>
    <row r="10" spans="1:22" x14ac:dyDescent="0.2">
      <c r="A10" t="s">
        <v>605</v>
      </c>
      <c r="C10" t="s">
        <v>22</v>
      </c>
      <c r="D10" s="1">
        <v>44273.642361111109</v>
      </c>
      <c r="E10" s="1"/>
      <c r="F10">
        <v>5</v>
      </c>
      <c r="G10">
        <v>0</v>
      </c>
      <c r="H10" t="s">
        <v>23</v>
      </c>
      <c r="I10">
        <v>5</v>
      </c>
      <c r="J10">
        <v>0</v>
      </c>
      <c r="K10">
        <v>0.45</v>
      </c>
      <c r="L10">
        <v>0</v>
      </c>
      <c r="M10" t="s">
        <v>23</v>
      </c>
      <c r="N10" t="s">
        <v>24</v>
      </c>
      <c r="P10" t="s">
        <v>604</v>
      </c>
      <c r="R10" t="s">
        <v>603</v>
      </c>
      <c r="S10" t="b">
        <v>1</v>
      </c>
      <c r="T10" t="s">
        <v>602</v>
      </c>
      <c r="V10" t="s">
        <v>429</v>
      </c>
    </row>
    <row r="11" spans="1:22" x14ac:dyDescent="0.2">
      <c r="A11" t="s">
        <v>601</v>
      </c>
      <c r="C11" t="s">
        <v>22</v>
      </c>
      <c r="D11" s="1">
        <v>44273.584722222222</v>
      </c>
      <c r="E11" s="1"/>
      <c r="F11">
        <v>5</v>
      </c>
      <c r="G11">
        <v>0</v>
      </c>
      <c r="H11" t="s">
        <v>23</v>
      </c>
      <c r="I11">
        <v>5</v>
      </c>
      <c r="J11">
        <v>0</v>
      </c>
      <c r="K11">
        <v>0.45</v>
      </c>
      <c r="L11">
        <v>0</v>
      </c>
      <c r="M11" t="s">
        <v>23</v>
      </c>
      <c r="N11" t="s">
        <v>24</v>
      </c>
      <c r="P11" t="s">
        <v>600</v>
      </c>
      <c r="R11" t="s">
        <v>599</v>
      </c>
      <c r="S11" t="b">
        <v>1</v>
      </c>
      <c r="T11" t="s">
        <v>598</v>
      </c>
      <c r="V11" t="s">
        <v>429</v>
      </c>
    </row>
    <row r="12" spans="1:22" x14ac:dyDescent="0.2">
      <c r="A12" t="s">
        <v>597</v>
      </c>
      <c r="C12" t="s">
        <v>22</v>
      </c>
      <c r="D12" s="1">
        <v>44273.573611111111</v>
      </c>
      <c r="E12" s="1" t="s">
        <v>423</v>
      </c>
      <c r="F12">
        <v>4</v>
      </c>
      <c r="G12">
        <v>0</v>
      </c>
      <c r="H12" t="s">
        <v>23</v>
      </c>
      <c r="I12">
        <v>4</v>
      </c>
      <c r="J12">
        <v>0</v>
      </c>
      <c r="K12">
        <v>0.42</v>
      </c>
      <c r="L12">
        <v>0</v>
      </c>
      <c r="M12" t="s">
        <v>23</v>
      </c>
      <c r="N12" t="s">
        <v>24</v>
      </c>
      <c r="P12" t="s">
        <v>596</v>
      </c>
      <c r="R12" t="s">
        <v>595</v>
      </c>
      <c r="S12" t="b">
        <v>1</v>
      </c>
      <c r="T12" t="s">
        <v>594</v>
      </c>
      <c r="V12" t="s">
        <v>429</v>
      </c>
    </row>
    <row r="13" spans="1:22" x14ac:dyDescent="0.2">
      <c r="A13" t="s">
        <v>593</v>
      </c>
      <c r="C13" t="s">
        <v>22</v>
      </c>
      <c r="D13" s="1">
        <v>44273.553472222222</v>
      </c>
      <c r="E13" s="1"/>
      <c r="F13">
        <v>5</v>
      </c>
      <c r="G13">
        <v>0</v>
      </c>
      <c r="H13" t="s">
        <v>23</v>
      </c>
      <c r="I13">
        <v>5</v>
      </c>
      <c r="J13">
        <v>0</v>
      </c>
      <c r="K13">
        <v>0.45</v>
      </c>
      <c r="L13">
        <v>0</v>
      </c>
      <c r="M13" t="s">
        <v>23</v>
      </c>
      <c r="N13" t="s">
        <v>24</v>
      </c>
      <c r="P13" t="s">
        <v>592</v>
      </c>
      <c r="R13" t="s">
        <v>591</v>
      </c>
      <c r="S13" t="b">
        <v>1</v>
      </c>
      <c r="T13" t="s">
        <v>590</v>
      </c>
      <c r="V13" t="s">
        <v>429</v>
      </c>
    </row>
    <row r="14" spans="1:22" x14ac:dyDescent="0.2">
      <c r="A14" t="s">
        <v>589</v>
      </c>
      <c r="C14" t="s">
        <v>22</v>
      </c>
      <c r="D14" s="1">
        <v>44273.54791666667</v>
      </c>
      <c r="E14" s="1"/>
      <c r="F14">
        <v>5</v>
      </c>
      <c r="G14">
        <v>0</v>
      </c>
      <c r="H14" t="s">
        <v>23</v>
      </c>
      <c r="I14">
        <v>5</v>
      </c>
      <c r="J14">
        <v>0</v>
      </c>
      <c r="K14">
        <v>0.45</v>
      </c>
      <c r="L14">
        <v>0</v>
      </c>
      <c r="M14" t="s">
        <v>23</v>
      </c>
      <c r="N14" t="s">
        <v>24</v>
      </c>
      <c r="P14" t="s">
        <v>588</v>
      </c>
      <c r="R14" t="s">
        <v>587</v>
      </c>
      <c r="S14" t="b">
        <v>1</v>
      </c>
      <c r="T14" t="s">
        <v>586</v>
      </c>
      <c r="V14" t="s">
        <v>429</v>
      </c>
    </row>
    <row r="15" spans="1:22" x14ac:dyDescent="0.2">
      <c r="A15" t="s">
        <v>585</v>
      </c>
      <c r="C15" t="s">
        <v>22</v>
      </c>
      <c r="D15" s="1">
        <v>44273.479861111111</v>
      </c>
      <c r="E15" s="1"/>
      <c r="F15">
        <v>5</v>
      </c>
      <c r="G15">
        <v>0</v>
      </c>
      <c r="H15" t="s">
        <v>23</v>
      </c>
      <c r="I15">
        <v>5</v>
      </c>
      <c r="J15">
        <v>0</v>
      </c>
      <c r="K15">
        <v>0.45</v>
      </c>
      <c r="L15">
        <v>0</v>
      </c>
      <c r="M15" t="s">
        <v>23</v>
      </c>
      <c r="N15" t="s">
        <v>24</v>
      </c>
      <c r="P15" t="s">
        <v>584</v>
      </c>
      <c r="R15" t="s">
        <v>583</v>
      </c>
      <c r="S15" t="b">
        <v>1</v>
      </c>
      <c r="T15" t="s">
        <v>582</v>
      </c>
      <c r="V15" t="s">
        <v>429</v>
      </c>
    </row>
    <row r="16" spans="1:22" x14ac:dyDescent="0.2">
      <c r="A16" t="s">
        <v>581</v>
      </c>
      <c r="C16" t="s">
        <v>22</v>
      </c>
      <c r="D16" s="1">
        <v>44273.440972222219</v>
      </c>
      <c r="E16" s="1"/>
      <c r="F16">
        <v>5</v>
      </c>
      <c r="G16">
        <v>0</v>
      </c>
      <c r="H16" t="s">
        <v>23</v>
      </c>
      <c r="I16">
        <v>5</v>
      </c>
      <c r="J16">
        <v>0</v>
      </c>
      <c r="K16">
        <v>0.45</v>
      </c>
      <c r="L16">
        <v>0</v>
      </c>
      <c r="M16" t="s">
        <v>23</v>
      </c>
      <c r="N16" t="s">
        <v>24</v>
      </c>
      <c r="P16" t="s">
        <v>580</v>
      </c>
      <c r="R16" t="s">
        <v>198</v>
      </c>
      <c r="S16" t="b">
        <v>1</v>
      </c>
      <c r="T16" t="s">
        <v>579</v>
      </c>
      <c r="V16" t="s">
        <v>429</v>
      </c>
    </row>
    <row r="17" spans="1:22" x14ac:dyDescent="0.2">
      <c r="A17" t="s">
        <v>578</v>
      </c>
      <c r="C17" t="s">
        <v>22</v>
      </c>
      <c r="D17" s="1">
        <v>44273.251388888886</v>
      </c>
      <c r="E17" s="1"/>
      <c r="F17">
        <v>5</v>
      </c>
      <c r="G17">
        <v>0</v>
      </c>
      <c r="H17" t="s">
        <v>23</v>
      </c>
      <c r="I17">
        <v>5</v>
      </c>
      <c r="J17">
        <v>0</v>
      </c>
      <c r="K17">
        <v>0.45</v>
      </c>
      <c r="L17">
        <v>0</v>
      </c>
      <c r="M17" t="s">
        <v>23</v>
      </c>
      <c r="N17" t="s">
        <v>24</v>
      </c>
      <c r="P17" t="s">
        <v>577</v>
      </c>
      <c r="R17" t="s">
        <v>576</v>
      </c>
      <c r="S17" t="b">
        <v>1</v>
      </c>
      <c r="T17" t="s">
        <v>575</v>
      </c>
      <c r="V17" t="s">
        <v>429</v>
      </c>
    </row>
    <row r="18" spans="1:22" x14ac:dyDescent="0.2">
      <c r="A18" t="s">
        <v>574</v>
      </c>
      <c r="C18" t="s">
        <v>22</v>
      </c>
      <c r="D18" s="1">
        <v>44273.17083333333</v>
      </c>
      <c r="E18" s="1"/>
      <c r="F18">
        <v>5</v>
      </c>
      <c r="G18">
        <v>0</v>
      </c>
      <c r="H18" t="s">
        <v>23</v>
      </c>
      <c r="I18">
        <v>5</v>
      </c>
      <c r="J18">
        <v>0</v>
      </c>
      <c r="K18">
        <v>0.45</v>
      </c>
      <c r="L18">
        <v>0</v>
      </c>
      <c r="M18" t="s">
        <v>23</v>
      </c>
      <c r="N18" t="s">
        <v>24</v>
      </c>
      <c r="P18" t="s">
        <v>573</v>
      </c>
      <c r="R18" t="s">
        <v>572</v>
      </c>
      <c r="S18" t="b">
        <v>1</v>
      </c>
      <c r="T18" t="s">
        <v>571</v>
      </c>
      <c r="V18" t="s">
        <v>429</v>
      </c>
    </row>
    <row r="19" spans="1:22" x14ac:dyDescent="0.2">
      <c r="A19" t="s">
        <v>570</v>
      </c>
      <c r="C19" t="s">
        <v>22</v>
      </c>
      <c r="D19" s="1">
        <v>44273.135416666664</v>
      </c>
      <c r="E19" s="1" t="s">
        <v>423</v>
      </c>
      <c r="F19">
        <v>4</v>
      </c>
      <c r="G19">
        <v>0</v>
      </c>
      <c r="H19" t="s">
        <v>23</v>
      </c>
      <c r="I19">
        <v>4</v>
      </c>
      <c r="J19">
        <v>0</v>
      </c>
      <c r="K19">
        <v>0.42</v>
      </c>
      <c r="L19">
        <v>0</v>
      </c>
      <c r="M19" t="s">
        <v>23</v>
      </c>
      <c r="N19" t="s">
        <v>24</v>
      </c>
      <c r="P19" t="s">
        <v>569</v>
      </c>
      <c r="R19" t="s">
        <v>568</v>
      </c>
      <c r="S19" t="b">
        <v>1</v>
      </c>
      <c r="T19" t="s">
        <v>567</v>
      </c>
      <c r="V19" t="s">
        <v>429</v>
      </c>
    </row>
    <row r="20" spans="1:22" x14ac:dyDescent="0.2">
      <c r="A20" t="s">
        <v>566</v>
      </c>
      <c r="C20" t="s">
        <v>22</v>
      </c>
      <c r="D20" s="1">
        <v>44273.111805555556</v>
      </c>
      <c r="E20" s="1"/>
      <c r="F20">
        <v>5</v>
      </c>
      <c r="G20">
        <v>0</v>
      </c>
      <c r="H20" t="s">
        <v>23</v>
      </c>
      <c r="I20">
        <v>5</v>
      </c>
      <c r="J20">
        <v>0</v>
      </c>
      <c r="K20">
        <v>0.45</v>
      </c>
      <c r="L20">
        <v>0</v>
      </c>
      <c r="M20" t="s">
        <v>23</v>
      </c>
      <c r="N20" t="s">
        <v>24</v>
      </c>
      <c r="P20" t="s">
        <v>565</v>
      </c>
      <c r="R20" t="s">
        <v>564</v>
      </c>
      <c r="S20" t="b">
        <v>1</v>
      </c>
      <c r="T20" t="s">
        <v>563</v>
      </c>
      <c r="V20" t="s">
        <v>429</v>
      </c>
    </row>
    <row r="21" spans="1:22" x14ac:dyDescent="0.2">
      <c r="A21" t="s">
        <v>562</v>
      </c>
      <c r="C21" t="s">
        <v>22</v>
      </c>
      <c r="D21" s="1">
        <v>44273.09652777778</v>
      </c>
      <c r="E21" s="1"/>
      <c r="F21">
        <v>5</v>
      </c>
      <c r="G21">
        <v>0</v>
      </c>
      <c r="H21" t="s">
        <v>23</v>
      </c>
      <c r="I21">
        <v>5</v>
      </c>
      <c r="J21">
        <v>0</v>
      </c>
      <c r="K21">
        <v>0.45</v>
      </c>
      <c r="L21">
        <v>0</v>
      </c>
      <c r="M21" t="s">
        <v>23</v>
      </c>
      <c r="N21" t="s">
        <v>24</v>
      </c>
      <c r="P21" t="s">
        <v>561</v>
      </c>
      <c r="R21" t="s">
        <v>560</v>
      </c>
      <c r="S21" t="b">
        <v>1</v>
      </c>
      <c r="T21" t="s">
        <v>559</v>
      </c>
      <c r="V21" t="s">
        <v>429</v>
      </c>
    </row>
    <row r="22" spans="1:22" x14ac:dyDescent="0.2">
      <c r="A22" t="s">
        <v>558</v>
      </c>
      <c r="C22" t="s">
        <v>22</v>
      </c>
      <c r="D22" s="1">
        <v>44273.092361111114</v>
      </c>
      <c r="E22" s="1"/>
      <c r="F22">
        <v>5</v>
      </c>
      <c r="G22">
        <v>0</v>
      </c>
      <c r="H22" t="s">
        <v>23</v>
      </c>
      <c r="I22">
        <v>5</v>
      </c>
      <c r="J22">
        <v>0</v>
      </c>
      <c r="K22">
        <v>0.45</v>
      </c>
      <c r="L22">
        <v>0</v>
      </c>
      <c r="M22" t="s">
        <v>23</v>
      </c>
      <c r="N22" t="s">
        <v>24</v>
      </c>
      <c r="P22" t="s">
        <v>557</v>
      </c>
      <c r="R22" t="s">
        <v>556</v>
      </c>
      <c r="S22" t="b">
        <v>1</v>
      </c>
      <c r="T22" t="s">
        <v>555</v>
      </c>
      <c r="V22" t="s">
        <v>429</v>
      </c>
    </row>
    <row r="23" spans="1:22" x14ac:dyDescent="0.2">
      <c r="A23" t="s">
        <v>554</v>
      </c>
      <c r="C23" t="s">
        <v>22</v>
      </c>
      <c r="D23" s="1">
        <v>44273.083333333336</v>
      </c>
      <c r="E23" s="1"/>
      <c r="F23">
        <v>5</v>
      </c>
      <c r="G23">
        <v>0</v>
      </c>
      <c r="H23" t="s">
        <v>23</v>
      </c>
      <c r="I23">
        <v>5</v>
      </c>
      <c r="J23">
        <v>0</v>
      </c>
      <c r="K23">
        <v>0.45</v>
      </c>
      <c r="L23">
        <v>0</v>
      </c>
      <c r="M23" t="s">
        <v>23</v>
      </c>
      <c r="N23" t="s">
        <v>24</v>
      </c>
      <c r="P23" t="s">
        <v>553</v>
      </c>
      <c r="R23" t="s">
        <v>552</v>
      </c>
      <c r="S23" t="b">
        <v>1</v>
      </c>
      <c r="T23" t="s">
        <v>551</v>
      </c>
      <c r="V23" t="s">
        <v>429</v>
      </c>
    </row>
    <row r="24" spans="1:22" x14ac:dyDescent="0.2">
      <c r="A24" t="s">
        <v>550</v>
      </c>
      <c r="C24" t="s">
        <v>22</v>
      </c>
      <c r="D24" s="1">
        <v>44272.962500000001</v>
      </c>
      <c r="E24" s="1" t="s">
        <v>423</v>
      </c>
      <c r="F24">
        <v>4</v>
      </c>
      <c r="G24">
        <v>0</v>
      </c>
      <c r="H24" t="s">
        <v>23</v>
      </c>
      <c r="I24">
        <v>4</v>
      </c>
      <c r="J24">
        <v>0</v>
      </c>
      <c r="K24">
        <v>0.42</v>
      </c>
      <c r="L24">
        <v>0</v>
      </c>
      <c r="M24" t="s">
        <v>23</v>
      </c>
      <c r="N24" t="s">
        <v>24</v>
      </c>
      <c r="P24" t="s">
        <v>549</v>
      </c>
      <c r="R24" t="s">
        <v>548</v>
      </c>
      <c r="S24" t="b">
        <v>1</v>
      </c>
      <c r="T24" t="s">
        <v>547</v>
      </c>
      <c r="V24" t="s">
        <v>429</v>
      </c>
    </row>
    <row r="25" spans="1:22" x14ac:dyDescent="0.2">
      <c r="A25" t="s">
        <v>546</v>
      </c>
      <c r="C25" t="s">
        <v>22</v>
      </c>
      <c r="D25" s="1">
        <v>44272.856944444444</v>
      </c>
      <c r="E25" s="1"/>
      <c r="F25">
        <v>5</v>
      </c>
      <c r="G25">
        <v>0</v>
      </c>
      <c r="H25" t="s">
        <v>23</v>
      </c>
      <c r="I25">
        <v>5</v>
      </c>
      <c r="J25">
        <v>0</v>
      </c>
      <c r="K25">
        <v>0.45</v>
      </c>
      <c r="L25">
        <v>0</v>
      </c>
      <c r="M25" t="s">
        <v>23</v>
      </c>
      <c r="N25" t="s">
        <v>24</v>
      </c>
      <c r="P25" t="s">
        <v>545</v>
      </c>
      <c r="R25" t="s">
        <v>544</v>
      </c>
      <c r="S25" t="b">
        <v>1</v>
      </c>
      <c r="T25" t="s">
        <v>543</v>
      </c>
      <c r="V25" t="s">
        <v>429</v>
      </c>
    </row>
    <row r="26" spans="1:22" x14ac:dyDescent="0.2">
      <c r="A26" t="s">
        <v>542</v>
      </c>
      <c r="C26" t="s">
        <v>22</v>
      </c>
      <c r="D26" s="1">
        <v>44272.827777777777</v>
      </c>
      <c r="E26" s="1"/>
      <c r="F26">
        <v>5</v>
      </c>
      <c r="G26">
        <v>0</v>
      </c>
      <c r="H26" t="s">
        <v>23</v>
      </c>
      <c r="I26">
        <v>5</v>
      </c>
      <c r="J26">
        <v>0</v>
      </c>
      <c r="K26">
        <v>0.45</v>
      </c>
      <c r="L26">
        <v>0</v>
      </c>
      <c r="M26" t="s">
        <v>23</v>
      </c>
      <c r="N26" t="s">
        <v>24</v>
      </c>
      <c r="P26" t="s">
        <v>541</v>
      </c>
      <c r="R26" t="s">
        <v>540</v>
      </c>
      <c r="S26" t="b">
        <v>1</v>
      </c>
      <c r="T26" t="s">
        <v>539</v>
      </c>
      <c r="V26" t="s">
        <v>429</v>
      </c>
    </row>
    <row r="27" spans="1:22" x14ac:dyDescent="0.2">
      <c r="A27" t="s">
        <v>538</v>
      </c>
      <c r="C27" t="s">
        <v>22</v>
      </c>
      <c r="D27" s="1">
        <v>44272.70416666667</v>
      </c>
      <c r="E27" s="1"/>
      <c r="F27">
        <v>5</v>
      </c>
      <c r="G27">
        <v>0</v>
      </c>
      <c r="H27" t="s">
        <v>23</v>
      </c>
      <c r="I27">
        <v>5</v>
      </c>
      <c r="J27">
        <v>0</v>
      </c>
      <c r="K27">
        <v>0.45</v>
      </c>
      <c r="L27">
        <v>0</v>
      </c>
      <c r="M27" t="s">
        <v>23</v>
      </c>
      <c r="N27" t="s">
        <v>24</v>
      </c>
      <c r="P27" t="s">
        <v>537</v>
      </c>
      <c r="R27" t="s">
        <v>342</v>
      </c>
      <c r="S27" t="b">
        <v>1</v>
      </c>
      <c r="T27" t="s">
        <v>536</v>
      </c>
      <c r="V27" t="s">
        <v>429</v>
      </c>
    </row>
    <row r="28" spans="1:22" x14ac:dyDescent="0.2">
      <c r="A28" t="s">
        <v>535</v>
      </c>
      <c r="C28" t="s">
        <v>22</v>
      </c>
      <c r="D28" s="1">
        <v>44272.65</v>
      </c>
      <c r="E28" s="1"/>
      <c r="F28">
        <v>5</v>
      </c>
      <c r="G28">
        <v>0</v>
      </c>
      <c r="H28" t="s">
        <v>23</v>
      </c>
      <c r="I28">
        <v>5</v>
      </c>
      <c r="J28">
        <v>0</v>
      </c>
      <c r="K28">
        <v>0.45</v>
      </c>
      <c r="L28">
        <v>0</v>
      </c>
      <c r="M28" t="s">
        <v>23</v>
      </c>
      <c r="N28" t="s">
        <v>24</v>
      </c>
      <c r="P28" t="s">
        <v>534</v>
      </c>
      <c r="R28" t="s">
        <v>410</v>
      </c>
      <c r="S28" t="b">
        <v>1</v>
      </c>
      <c r="T28" t="s">
        <v>533</v>
      </c>
      <c r="V28" t="s">
        <v>429</v>
      </c>
    </row>
    <row r="29" spans="1:22" x14ac:dyDescent="0.2">
      <c r="A29" t="s">
        <v>532</v>
      </c>
      <c r="C29" t="s">
        <v>22</v>
      </c>
      <c r="D29" s="1">
        <v>44272.109027777777</v>
      </c>
      <c r="E29" s="1"/>
      <c r="F29">
        <v>5</v>
      </c>
      <c r="G29">
        <v>0</v>
      </c>
      <c r="H29" t="s">
        <v>23</v>
      </c>
      <c r="I29">
        <v>5</v>
      </c>
      <c r="J29">
        <v>0</v>
      </c>
      <c r="K29">
        <v>0.45</v>
      </c>
      <c r="L29">
        <v>0</v>
      </c>
      <c r="M29" t="s">
        <v>23</v>
      </c>
      <c r="N29" t="s">
        <v>24</v>
      </c>
      <c r="P29" t="s">
        <v>531</v>
      </c>
      <c r="R29" t="s">
        <v>530</v>
      </c>
      <c r="S29" t="b">
        <v>1</v>
      </c>
      <c r="T29" t="s">
        <v>529</v>
      </c>
      <c r="V29" t="s">
        <v>429</v>
      </c>
    </row>
    <row r="30" spans="1:22" x14ac:dyDescent="0.2">
      <c r="A30" t="s">
        <v>528</v>
      </c>
      <c r="C30" t="s">
        <v>22</v>
      </c>
      <c r="D30" s="1">
        <v>44272.051388888889</v>
      </c>
      <c r="E30" s="1" t="s">
        <v>423</v>
      </c>
      <c r="F30">
        <v>4</v>
      </c>
      <c r="G30">
        <v>0</v>
      </c>
      <c r="H30" t="s">
        <v>23</v>
      </c>
      <c r="I30">
        <v>4</v>
      </c>
      <c r="J30">
        <v>0</v>
      </c>
      <c r="K30">
        <v>0.42</v>
      </c>
      <c r="L30">
        <v>0</v>
      </c>
      <c r="M30" t="s">
        <v>23</v>
      </c>
      <c r="N30" t="s">
        <v>24</v>
      </c>
      <c r="P30" t="s">
        <v>527</v>
      </c>
      <c r="R30" t="s">
        <v>290</v>
      </c>
      <c r="S30" t="b">
        <v>1</v>
      </c>
      <c r="T30" t="s">
        <v>526</v>
      </c>
      <c r="V30" t="s">
        <v>429</v>
      </c>
    </row>
    <row r="31" spans="1:22" x14ac:dyDescent="0.2">
      <c r="A31" t="s">
        <v>525</v>
      </c>
      <c r="C31" t="s">
        <v>22</v>
      </c>
      <c r="D31" s="1">
        <v>44271.918055555558</v>
      </c>
      <c r="E31" s="1"/>
      <c r="F31">
        <v>5</v>
      </c>
      <c r="G31">
        <v>0</v>
      </c>
      <c r="H31" t="s">
        <v>23</v>
      </c>
      <c r="I31">
        <v>5</v>
      </c>
      <c r="J31">
        <v>0</v>
      </c>
      <c r="K31">
        <v>0.45</v>
      </c>
      <c r="L31">
        <v>0</v>
      </c>
      <c r="M31" t="s">
        <v>23</v>
      </c>
      <c r="N31" t="s">
        <v>24</v>
      </c>
      <c r="P31" t="s">
        <v>524</v>
      </c>
      <c r="R31" t="s">
        <v>218</v>
      </c>
      <c r="S31" t="b">
        <v>1</v>
      </c>
      <c r="T31" t="s">
        <v>523</v>
      </c>
      <c r="V31" t="s">
        <v>429</v>
      </c>
    </row>
    <row r="32" spans="1:22" x14ac:dyDescent="0.2">
      <c r="A32" t="s">
        <v>522</v>
      </c>
      <c r="C32" t="s">
        <v>22</v>
      </c>
      <c r="D32" s="1">
        <v>44271.865972222222</v>
      </c>
      <c r="E32" s="1"/>
      <c r="F32">
        <v>5</v>
      </c>
      <c r="G32">
        <v>0</v>
      </c>
      <c r="H32" t="s">
        <v>23</v>
      </c>
      <c r="I32">
        <v>5</v>
      </c>
      <c r="J32">
        <v>0</v>
      </c>
      <c r="K32">
        <v>0.45</v>
      </c>
      <c r="L32">
        <v>0</v>
      </c>
      <c r="M32" t="s">
        <v>23</v>
      </c>
      <c r="N32" t="s">
        <v>24</v>
      </c>
      <c r="P32" t="s">
        <v>521</v>
      </c>
      <c r="R32" t="s">
        <v>362</v>
      </c>
      <c r="S32" t="b">
        <v>1</v>
      </c>
      <c r="T32" t="s">
        <v>520</v>
      </c>
      <c r="V32" t="s">
        <v>429</v>
      </c>
    </row>
    <row r="33" spans="1:22" x14ac:dyDescent="0.2">
      <c r="A33" t="s">
        <v>519</v>
      </c>
      <c r="C33" t="s">
        <v>22</v>
      </c>
      <c r="D33" s="1">
        <v>44271.805555555555</v>
      </c>
      <c r="E33" s="1"/>
      <c r="F33">
        <v>5</v>
      </c>
      <c r="G33">
        <v>0</v>
      </c>
      <c r="H33" t="s">
        <v>23</v>
      </c>
      <c r="I33">
        <v>5</v>
      </c>
      <c r="J33">
        <v>0</v>
      </c>
      <c r="K33">
        <v>0.45</v>
      </c>
      <c r="L33">
        <v>0</v>
      </c>
      <c r="M33" t="s">
        <v>23</v>
      </c>
      <c r="N33" t="s">
        <v>24</v>
      </c>
      <c r="P33" t="s">
        <v>518</v>
      </c>
      <c r="R33" t="s">
        <v>346</v>
      </c>
      <c r="S33" t="b">
        <v>1</v>
      </c>
      <c r="T33" t="s">
        <v>517</v>
      </c>
      <c r="V33" t="s">
        <v>429</v>
      </c>
    </row>
    <row r="34" spans="1:22" x14ac:dyDescent="0.2">
      <c r="A34" t="s">
        <v>516</v>
      </c>
      <c r="C34" t="s">
        <v>22</v>
      </c>
      <c r="D34" s="1">
        <v>44271.743750000001</v>
      </c>
      <c r="E34" s="1"/>
      <c r="F34">
        <v>5</v>
      </c>
      <c r="G34">
        <v>0</v>
      </c>
      <c r="H34" t="s">
        <v>23</v>
      </c>
      <c r="I34">
        <v>5</v>
      </c>
      <c r="J34">
        <v>0</v>
      </c>
      <c r="K34">
        <v>0.45</v>
      </c>
      <c r="L34">
        <v>0</v>
      </c>
      <c r="M34" t="s">
        <v>23</v>
      </c>
      <c r="N34" t="s">
        <v>24</v>
      </c>
      <c r="P34" t="s">
        <v>515</v>
      </c>
      <c r="R34" t="s">
        <v>514</v>
      </c>
      <c r="S34" t="b">
        <v>1</v>
      </c>
      <c r="T34" t="s">
        <v>513</v>
      </c>
      <c r="V34" t="s">
        <v>429</v>
      </c>
    </row>
    <row r="35" spans="1:22" x14ac:dyDescent="0.2">
      <c r="A35" t="s">
        <v>512</v>
      </c>
      <c r="C35" t="s">
        <v>22</v>
      </c>
      <c r="D35" s="1">
        <v>44271.727777777778</v>
      </c>
      <c r="E35" s="1"/>
      <c r="F35">
        <v>5</v>
      </c>
      <c r="G35">
        <v>0</v>
      </c>
      <c r="H35" t="s">
        <v>23</v>
      </c>
      <c r="I35">
        <v>5</v>
      </c>
      <c r="J35">
        <v>0</v>
      </c>
      <c r="K35">
        <v>0.45</v>
      </c>
      <c r="L35">
        <v>0</v>
      </c>
      <c r="M35" t="s">
        <v>23</v>
      </c>
      <c r="N35" t="s">
        <v>24</v>
      </c>
      <c r="P35" t="s">
        <v>511</v>
      </c>
      <c r="R35" t="s">
        <v>182</v>
      </c>
      <c r="S35" t="b">
        <v>1</v>
      </c>
      <c r="T35" t="s">
        <v>510</v>
      </c>
      <c r="V35" t="s">
        <v>429</v>
      </c>
    </row>
    <row r="36" spans="1:22" x14ac:dyDescent="0.2">
      <c r="A36" t="s">
        <v>509</v>
      </c>
      <c r="C36" t="s">
        <v>22</v>
      </c>
      <c r="D36" s="1">
        <v>44271.71875</v>
      </c>
      <c r="E36" s="1"/>
      <c r="F36">
        <v>5</v>
      </c>
      <c r="G36">
        <v>0</v>
      </c>
      <c r="H36" t="s">
        <v>23</v>
      </c>
      <c r="I36">
        <v>5</v>
      </c>
      <c r="J36">
        <v>0</v>
      </c>
      <c r="K36">
        <v>0.45</v>
      </c>
      <c r="L36">
        <v>0</v>
      </c>
      <c r="M36" t="s">
        <v>23</v>
      </c>
      <c r="N36" t="s">
        <v>24</v>
      </c>
      <c r="P36" t="s">
        <v>508</v>
      </c>
      <c r="R36" t="s">
        <v>507</v>
      </c>
      <c r="S36" t="b">
        <v>1</v>
      </c>
      <c r="T36" t="s">
        <v>506</v>
      </c>
      <c r="V36" t="s">
        <v>429</v>
      </c>
    </row>
    <row r="37" spans="1:22" x14ac:dyDescent="0.2">
      <c r="A37" t="s">
        <v>505</v>
      </c>
      <c r="C37" t="s">
        <v>22</v>
      </c>
      <c r="D37" s="1">
        <v>44271.620138888888</v>
      </c>
      <c r="E37" s="1"/>
      <c r="F37">
        <v>5</v>
      </c>
      <c r="G37">
        <v>0</v>
      </c>
      <c r="H37" t="s">
        <v>23</v>
      </c>
      <c r="I37">
        <v>5</v>
      </c>
      <c r="J37">
        <v>0</v>
      </c>
      <c r="K37">
        <v>0.45</v>
      </c>
      <c r="L37">
        <v>0</v>
      </c>
      <c r="M37" t="s">
        <v>23</v>
      </c>
      <c r="N37" t="s">
        <v>24</v>
      </c>
      <c r="P37" t="s">
        <v>504</v>
      </c>
      <c r="R37" t="s">
        <v>503</v>
      </c>
      <c r="S37" t="b">
        <v>1</v>
      </c>
      <c r="T37" t="s">
        <v>502</v>
      </c>
      <c r="V37" t="s">
        <v>429</v>
      </c>
    </row>
    <row r="38" spans="1:22" x14ac:dyDescent="0.2">
      <c r="A38" t="s">
        <v>501</v>
      </c>
      <c r="C38" t="s">
        <v>22</v>
      </c>
      <c r="D38" s="1">
        <v>44271.615277777775</v>
      </c>
      <c r="E38" s="1" t="s">
        <v>423</v>
      </c>
      <c r="F38">
        <v>4</v>
      </c>
      <c r="G38">
        <v>0</v>
      </c>
      <c r="H38" t="s">
        <v>23</v>
      </c>
      <c r="I38">
        <v>4</v>
      </c>
      <c r="J38">
        <v>0</v>
      </c>
      <c r="K38">
        <v>0.42</v>
      </c>
      <c r="L38">
        <v>0</v>
      </c>
      <c r="M38" t="s">
        <v>23</v>
      </c>
      <c r="N38" t="s">
        <v>24</v>
      </c>
      <c r="P38" t="s">
        <v>500</v>
      </c>
      <c r="R38" t="s">
        <v>499</v>
      </c>
      <c r="S38" t="b">
        <v>1</v>
      </c>
      <c r="T38" t="s">
        <v>498</v>
      </c>
      <c r="V38" t="s">
        <v>429</v>
      </c>
    </row>
    <row r="39" spans="1:22" x14ac:dyDescent="0.2">
      <c r="A39" t="s">
        <v>497</v>
      </c>
      <c r="C39" t="s">
        <v>22</v>
      </c>
      <c r="D39" s="1">
        <v>44271.605555555558</v>
      </c>
      <c r="E39" s="1"/>
      <c r="F39">
        <v>5</v>
      </c>
      <c r="G39">
        <v>0</v>
      </c>
      <c r="H39" t="s">
        <v>23</v>
      </c>
      <c r="I39">
        <v>5</v>
      </c>
      <c r="J39">
        <v>0</v>
      </c>
      <c r="K39">
        <v>0.45</v>
      </c>
      <c r="L39">
        <v>0</v>
      </c>
      <c r="M39" t="s">
        <v>23</v>
      </c>
      <c r="N39" t="s">
        <v>24</v>
      </c>
      <c r="P39" t="s">
        <v>496</v>
      </c>
      <c r="R39" t="s">
        <v>495</v>
      </c>
      <c r="S39" t="b">
        <v>1</v>
      </c>
      <c r="T39" t="s">
        <v>494</v>
      </c>
      <c r="V39" t="s">
        <v>429</v>
      </c>
    </row>
    <row r="40" spans="1:22" x14ac:dyDescent="0.2">
      <c r="A40" t="s">
        <v>493</v>
      </c>
      <c r="C40" t="s">
        <v>22</v>
      </c>
      <c r="D40" s="1">
        <v>44271.234722222223</v>
      </c>
      <c r="E40" s="1"/>
      <c r="F40">
        <v>5</v>
      </c>
      <c r="G40">
        <v>0</v>
      </c>
      <c r="H40" t="s">
        <v>23</v>
      </c>
      <c r="I40">
        <v>5</v>
      </c>
      <c r="J40">
        <v>0</v>
      </c>
      <c r="K40">
        <v>0.45</v>
      </c>
      <c r="L40">
        <v>0</v>
      </c>
      <c r="M40" t="s">
        <v>23</v>
      </c>
      <c r="N40" t="s">
        <v>24</v>
      </c>
      <c r="P40" t="s">
        <v>492</v>
      </c>
      <c r="R40" t="s">
        <v>491</v>
      </c>
      <c r="S40" t="b">
        <v>1</v>
      </c>
      <c r="T40" t="s">
        <v>490</v>
      </c>
      <c r="V40" t="s">
        <v>429</v>
      </c>
    </row>
    <row r="41" spans="1:22" x14ac:dyDescent="0.2">
      <c r="A41" t="s">
        <v>489</v>
      </c>
      <c r="C41" t="s">
        <v>22</v>
      </c>
      <c r="D41" s="1">
        <v>44271.160416666666</v>
      </c>
      <c r="E41" s="1"/>
      <c r="F41">
        <v>5</v>
      </c>
      <c r="G41">
        <v>0</v>
      </c>
      <c r="H41" t="s">
        <v>23</v>
      </c>
      <c r="I41">
        <v>5</v>
      </c>
      <c r="J41">
        <v>0</v>
      </c>
      <c r="K41">
        <v>0.45</v>
      </c>
      <c r="L41">
        <v>0</v>
      </c>
      <c r="M41" t="s">
        <v>23</v>
      </c>
      <c r="N41" t="s">
        <v>24</v>
      </c>
      <c r="P41" t="s">
        <v>488</v>
      </c>
      <c r="R41" t="s">
        <v>334</v>
      </c>
      <c r="S41" t="b">
        <v>1</v>
      </c>
      <c r="T41" t="s">
        <v>487</v>
      </c>
      <c r="V41" t="s">
        <v>429</v>
      </c>
    </row>
    <row r="42" spans="1:22" x14ac:dyDescent="0.2">
      <c r="A42" t="s">
        <v>486</v>
      </c>
      <c r="C42" t="s">
        <v>22</v>
      </c>
      <c r="D42" s="1">
        <v>44271.133333333331</v>
      </c>
      <c r="E42" s="1"/>
      <c r="F42">
        <v>5</v>
      </c>
      <c r="G42">
        <v>0</v>
      </c>
      <c r="H42" t="s">
        <v>23</v>
      </c>
      <c r="I42">
        <v>5</v>
      </c>
      <c r="J42">
        <v>0</v>
      </c>
      <c r="K42">
        <v>0.45</v>
      </c>
      <c r="L42">
        <v>0</v>
      </c>
      <c r="M42" t="s">
        <v>23</v>
      </c>
      <c r="N42" t="s">
        <v>24</v>
      </c>
      <c r="P42" t="s">
        <v>485</v>
      </c>
      <c r="R42" t="s">
        <v>484</v>
      </c>
      <c r="S42" t="b">
        <v>1</v>
      </c>
      <c r="T42" t="s">
        <v>483</v>
      </c>
      <c r="V42" t="s">
        <v>429</v>
      </c>
    </row>
    <row r="43" spans="1:22" x14ac:dyDescent="0.2">
      <c r="A43" t="s">
        <v>482</v>
      </c>
      <c r="C43" t="s">
        <v>22</v>
      </c>
      <c r="D43" s="1">
        <v>44271.081250000003</v>
      </c>
      <c r="E43" s="1"/>
      <c r="F43">
        <v>5</v>
      </c>
      <c r="G43">
        <v>0</v>
      </c>
      <c r="H43" t="s">
        <v>23</v>
      </c>
      <c r="I43">
        <v>5</v>
      </c>
      <c r="J43">
        <v>0</v>
      </c>
      <c r="K43">
        <v>0.45</v>
      </c>
      <c r="L43">
        <v>0</v>
      </c>
      <c r="M43" t="s">
        <v>23</v>
      </c>
      <c r="N43" t="s">
        <v>24</v>
      </c>
      <c r="P43" t="s">
        <v>481</v>
      </c>
      <c r="R43" t="s">
        <v>480</v>
      </c>
      <c r="S43" t="b">
        <v>1</v>
      </c>
      <c r="T43" t="s">
        <v>479</v>
      </c>
      <c r="V43" t="s">
        <v>429</v>
      </c>
    </row>
    <row r="44" spans="1:22" x14ac:dyDescent="0.2">
      <c r="A44" t="s">
        <v>478</v>
      </c>
      <c r="C44" t="s">
        <v>22</v>
      </c>
      <c r="D44" s="1">
        <v>44271.053472222222</v>
      </c>
      <c r="E44" s="1"/>
      <c r="F44">
        <v>5</v>
      </c>
      <c r="G44">
        <v>0</v>
      </c>
      <c r="H44" t="s">
        <v>23</v>
      </c>
      <c r="I44">
        <v>5</v>
      </c>
      <c r="J44">
        <v>0</v>
      </c>
      <c r="K44">
        <v>0.45</v>
      </c>
      <c r="L44">
        <v>0</v>
      </c>
      <c r="M44" t="s">
        <v>23</v>
      </c>
      <c r="N44" t="s">
        <v>24</v>
      </c>
      <c r="P44" t="s">
        <v>477</v>
      </c>
      <c r="R44" t="s">
        <v>210</v>
      </c>
      <c r="S44" t="b">
        <v>1</v>
      </c>
      <c r="T44" t="s">
        <v>476</v>
      </c>
      <c r="V44" t="s">
        <v>429</v>
      </c>
    </row>
    <row r="45" spans="1:22" x14ac:dyDescent="0.2">
      <c r="A45" t="s">
        <v>475</v>
      </c>
      <c r="C45" t="s">
        <v>22</v>
      </c>
      <c r="D45" s="1">
        <v>44271.032638888886</v>
      </c>
      <c r="E45" s="1"/>
      <c r="F45">
        <v>5</v>
      </c>
      <c r="G45">
        <v>0</v>
      </c>
      <c r="H45" t="s">
        <v>23</v>
      </c>
      <c r="I45">
        <v>5</v>
      </c>
      <c r="J45">
        <v>0</v>
      </c>
      <c r="K45">
        <v>0.45</v>
      </c>
      <c r="L45">
        <v>0</v>
      </c>
      <c r="M45" t="s">
        <v>23</v>
      </c>
      <c r="N45" t="s">
        <v>24</v>
      </c>
      <c r="P45" t="s">
        <v>474</v>
      </c>
      <c r="R45" t="s">
        <v>318</v>
      </c>
      <c r="S45" t="b">
        <v>1</v>
      </c>
      <c r="T45" t="s">
        <v>473</v>
      </c>
      <c r="V45" t="s">
        <v>429</v>
      </c>
    </row>
    <row r="46" spans="1:22" x14ac:dyDescent="0.2">
      <c r="A46" t="s">
        <v>472</v>
      </c>
      <c r="C46" t="s">
        <v>22</v>
      </c>
      <c r="D46" s="1">
        <v>44271.018055555556</v>
      </c>
      <c r="E46" s="1" t="s">
        <v>423</v>
      </c>
      <c r="F46">
        <v>4</v>
      </c>
      <c r="G46">
        <v>0</v>
      </c>
      <c r="H46" t="s">
        <v>23</v>
      </c>
      <c r="I46">
        <v>4</v>
      </c>
      <c r="J46">
        <v>0</v>
      </c>
      <c r="K46">
        <v>0.42</v>
      </c>
      <c r="L46">
        <v>0</v>
      </c>
      <c r="M46" t="s">
        <v>23</v>
      </c>
      <c r="N46" t="s">
        <v>24</v>
      </c>
      <c r="P46" t="s">
        <v>471</v>
      </c>
      <c r="R46" t="s">
        <v>90</v>
      </c>
      <c r="S46" t="b">
        <v>1</v>
      </c>
      <c r="T46" t="s">
        <v>470</v>
      </c>
      <c r="V46" t="s">
        <v>429</v>
      </c>
    </row>
    <row r="47" spans="1:22" x14ac:dyDescent="0.2">
      <c r="A47" t="s">
        <v>469</v>
      </c>
      <c r="C47" t="s">
        <v>22</v>
      </c>
      <c r="D47" s="1">
        <v>44270.989583333336</v>
      </c>
      <c r="E47" s="1" t="s">
        <v>657</v>
      </c>
      <c r="F47">
        <v>0.5</v>
      </c>
      <c r="G47">
        <v>0</v>
      </c>
      <c r="H47" t="s">
        <v>23</v>
      </c>
      <c r="I47">
        <v>0.5</v>
      </c>
      <c r="J47">
        <v>0</v>
      </c>
      <c r="K47">
        <v>0.31</v>
      </c>
      <c r="L47">
        <v>0</v>
      </c>
      <c r="M47" t="s">
        <v>23</v>
      </c>
      <c r="N47" t="s">
        <v>24</v>
      </c>
      <c r="P47" t="s">
        <v>468</v>
      </c>
      <c r="R47" t="s">
        <v>190</v>
      </c>
      <c r="S47" t="b">
        <v>1</v>
      </c>
      <c r="T47" t="s">
        <v>467</v>
      </c>
      <c r="V47" t="s">
        <v>429</v>
      </c>
    </row>
    <row r="48" spans="1:22" x14ac:dyDescent="0.2">
      <c r="A48" t="s">
        <v>466</v>
      </c>
      <c r="C48" t="s">
        <v>22</v>
      </c>
      <c r="D48" s="1">
        <v>44270.974999999999</v>
      </c>
      <c r="E48" s="1"/>
      <c r="F48">
        <v>5</v>
      </c>
      <c r="G48">
        <v>0</v>
      </c>
      <c r="H48" t="s">
        <v>23</v>
      </c>
      <c r="I48">
        <v>5</v>
      </c>
      <c r="J48">
        <v>0</v>
      </c>
      <c r="K48">
        <v>0.45</v>
      </c>
      <c r="L48">
        <v>0</v>
      </c>
      <c r="M48" t="s">
        <v>23</v>
      </c>
      <c r="N48" t="s">
        <v>24</v>
      </c>
      <c r="P48" t="s">
        <v>465</v>
      </c>
      <c r="R48" t="s">
        <v>464</v>
      </c>
      <c r="S48" t="b">
        <v>1</v>
      </c>
      <c r="T48" t="s">
        <v>463</v>
      </c>
      <c r="V48" t="s">
        <v>429</v>
      </c>
    </row>
    <row r="49" spans="1:22" x14ac:dyDescent="0.2">
      <c r="A49" t="s">
        <v>462</v>
      </c>
      <c r="C49" t="s">
        <v>22</v>
      </c>
      <c r="D49" s="1">
        <v>44270.961111111108</v>
      </c>
      <c r="E49" s="1"/>
      <c r="F49">
        <v>5</v>
      </c>
      <c r="G49">
        <v>0</v>
      </c>
      <c r="H49" t="s">
        <v>23</v>
      </c>
      <c r="I49">
        <v>5</v>
      </c>
      <c r="J49">
        <v>0</v>
      </c>
      <c r="K49">
        <v>0.45</v>
      </c>
      <c r="L49">
        <v>0</v>
      </c>
      <c r="M49" t="s">
        <v>23</v>
      </c>
      <c r="N49" t="s">
        <v>24</v>
      </c>
      <c r="P49" t="s">
        <v>461</v>
      </c>
      <c r="R49" t="s">
        <v>460</v>
      </c>
      <c r="S49" t="b">
        <v>1</v>
      </c>
      <c r="T49" t="s">
        <v>459</v>
      </c>
      <c r="V49" t="s">
        <v>429</v>
      </c>
    </row>
    <row r="50" spans="1:22" x14ac:dyDescent="0.2">
      <c r="A50" t="s">
        <v>458</v>
      </c>
      <c r="C50" t="s">
        <v>22</v>
      </c>
      <c r="D50" s="1">
        <v>44270.897222222222</v>
      </c>
      <c r="E50" s="1" t="s">
        <v>423</v>
      </c>
      <c r="F50">
        <v>4</v>
      </c>
      <c r="G50">
        <v>0</v>
      </c>
      <c r="H50" t="s">
        <v>23</v>
      </c>
      <c r="I50">
        <v>4</v>
      </c>
      <c r="J50">
        <v>0</v>
      </c>
      <c r="K50">
        <v>0.42</v>
      </c>
      <c r="L50">
        <v>0</v>
      </c>
      <c r="M50" t="s">
        <v>23</v>
      </c>
      <c r="N50" t="s">
        <v>24</v>
      </c>
      <c r="P50" t="s">
        <v>457</v>
      </c>
      <c r="R50" t="s">
        <v>456</v>
      </c>
      <c r="S50" t="b">
        <v>1</v>
      </c>
      <c r="T50" t="s">
        <v>455</v>
      </c>
      <c r="V50" t="s">
        <v>429</v>
      </c>
    </row>
    <row r="51" spans="1:22" x14ac:dyDescent="0.2">
      <c r="A51" t="s">
        <v>454</v>
      </c>
      <c r="C51" t="s">
        <v>22</v>
      </c>
      <c r="D51" s="1">
        <v>44270.854861111111</v>
      </c>
      <c r="E51" s="1"/>
      <c r="F51">
        <v>5</v>
      </c>
      <c r="G51">
        <v>0</v>
      </c>
      <c r="H51" t="s">
        <v>23</v>
      </c>
      <c r="I51">
        <v>5</v>
      </c>
      <c r="J51">
        <v>0</v>
      </c>
      <c r="K51">
        <v>0.45</v>
      </c>
      <c r="L51">
        <v>0</v>
      </c>
      <c r="M51" t="s">
        <v>23</v>
      </c>
      <c r="N51" t="s">
        <v>24</v>
      </c>
      <c r="P51" t="s">
        <v>453</v>
      </c>
      <c r="R51" t="s">
        <v>452</v>
      </c>
      <c r="S51" t="b">
        <v>1</v>
      </c>
      <c r="T51" t="s">
        <v>451</v>
      </c>
      <c r="V51" t="s">
        <v>429</v>
      </c>
    </row>
    <row r="52" spans="1:22" x14ac:dyDescent="0.2">
      <c r="A52" t="s">
        <v>450</v>
      </c>
      <c r="C52" t="s">
        <v>22</v>
      </c>
      <c r="D52" s="1">
        <v>44270.757638888892</v>
      </c>
      <c r="E52" s="1"/>
      <c r="F52">
        <v>5</v>
      </c>
      <c r="G52">
        <v>0</v>
      </c>
      <c r="H52" t="s">
        <v>23</v>
      </c>
      <c r="I52">
        <v>5</v>
      </c>
      <c r="J52">
        <v>0</v>
      </c>
      <c r="K52">
        <v>0.45</v>
      </c>
      <c r="L52">
        <v>0</v>
      </c>
      <c r="M52" t="s">
        <v>23</v>
      </c>
      <c r="N52" t="s">
        <v>24</v>
      </c>
      <c r="P52" t="s">
        <v>449</v>
      </c>
      <c r="R52" t="s">
        <v>330</v>
      </c>
      <c r="S52" t="b">
        <v>1</v>
      </c>
      <c r="T52" t="s">
        <v>448</v>
      </c>
      <c r="V52" t="s">
        <v>429</v>
      </c>
    </row>
    <row r="53" spans="1:22" x14ac:dyDescent="0.2">
      <c r="A53" t="s">
        <v>447</v>
      </c>
      <c r="C53" t="s">
        <v>22</v>
      </c>
      <c r="D53" s="1">
        <v>44270.754166666666</v>
      </c>
      <c r="E53" s="1"/>
      <c r="F53">
        <v>5</v>
      </c>
      <c r="G53">
        <v>0</v>
      </c>
      <c r="H53" t="s">
        <v>23</v>
      </c>
      <c r="I53">
        <v>5</v>
      </c>
      <c r="J53">
        <v>0</v>
      </c>
      <c r="K53">
        <v>0.45</v>
      </c>
      <c r="L53">
        <v>0</v>
      </c>
      <c r="M53" t="s">
        <v>23</v>
      </c>
      <c r="N53" t="s">
        <v>24</v>
      </c>
      <c r="P53" t="s">
        <v>446</v>
      </c>
      <c r="R53" t="s">
        <v>445</v>
      </c>
      <c r="S53" t="b">
        <v>1</v>
      </c>
      <c r="T53" t="s">
        <v>444</v>
      </c>
      <c r="V53" t="s">
        <v>429</v>
      </c>
    </row>
    <row r="54" spans="1:22" x14ac:dyDescent="0.2">
      <c r="A54" t="s">
        <v>443</v>
      </c>
      <c r="C54" t="s">
        <v>22</v>
      </c>
      <c r="D54" s="1">
        <v>44270.506944444445</v>
      </c>
      <c r="E54" s="1"/>
      <c r="F54">
        <v>5</v>
      </c>
      <c r="G54">
        <v>0</v>
      </c>
      <c r="H54" t="s">
        <v>23</v>
      </c>
      <c r="I54">
        <v>5</v>
      </c>
      <c r="J54">
        <v>0</v>
      </c>
      <c r="K54">
        <v>0.45</v>
      </c>
      <c r="L54">
        <v>0</v>
      </c>
      <c r="M54" t="s">
        <v>23</v>
      </c>
      <c r="N54" t="s">
        <v>24</v>
      </c>
      <c r="P54" t="s">
        <v>442</v>
      </c>
      <c r="R54" t="s">
        <v>441</v>
      </c>
      <c r="S54" t="b">
        <v>1</v>
      </c>
      <c r="T54" t="s">
        <v>440</v>
      </c>
      <c r="V54" t="s">
        <v>429</v>
      </c>
    </row>
    <row r="55" spans="1:22" x14ac:dyDescent="0.2">
      <c r="A55" t="s">
        <v>439</v>
      </c>
      <c r="C55" t="s">
        <v>22</v>
      </c>
      <c r="D55" s="1">
        <v>44269.999305555553</v>
      </c>
      <c r="E55" s="1"/>
      <c r="F55">
        <v>5</v>
      </c>
      <c r="G55">
        <v>0</v>
      </c>
      <c r="H55" t="s">
        <v>23</v>
      </c>
      <c r="I55">
        <v>5</v>
      </c>
      <c r="J55">
        <v>0</v>
      </c>
      <c r="K55">
        <v>0.45</v>
      </c>
      <c r="L55">
        <v>0</v>
      </c>
      <c r="M55" t="s">
        <v>23</v>
      </c>
      <c r="N55" t="s">
        <v>24</v>
      </c>
      <c r="P55" t="s">
        <v>438</v>
      </c>
      <c r="R55" t="s">
        <v>90</v>
      </c>
      <c r="S55" t="b">
        <v>1</v>
      </c>
      <c r="T55" t="s">
        <v>437</v>
      </c>
      <c r="V55" t="s">
        <v>429</v>
      </c>
    </row>
    <row r="56" spans="1:22" x14ac:dyDescent="0.2">
      <c r="A56" t="s">
        <v>436</v>
      </c>
      <c r="C56" t="s">
        <v>22</v>
      </c>
      <c r="D56" s="1">
        <v>44269.8</v>
      </c>
      <c r="E56" s="1"/>
      <c r="F56">
        <v>5</v>
      </c>
      <c r="G56">
        <v>0</v>
      </c>
      <c r="H56" t="s">
        <v>23</v>
      </c>
      <c r="I56">
        <v>5</v>
      </c>
      <c r="J56">
        <v>0</v>
      </c>
      <c r="K56">
        <v>0.45</v>
      </c>
      <c r="L56">
        <v>0</v>
      </c>
      <c r="M56" t="s">
        <v>23</v>
      </c>
      <c r="N56" t="s">
        <v>24</v>
      </c>
      <c r="P56" t="s">
        <v>435</v>
      </c>
      <c r="R56" t="s">
        <v>246</v>
      </c>
      <c r="S56" t="b">
        <v>1</v>
      </c>
      <c r="T56" t="s">
        <v>434</v>
      </c>
      <c r="V56" t="s">
        <v>429</v>
      </c>
    </row>
    <row r="57" spans="1:22" x14ac:dyDescent="0.2">
      <c r="A57" t="s">
        <v>433</v>
      </c>
      <c r="C57" t="s">
        <v>22</v>
      </c>
      <c r="D57" s="1">
        <v>44269.15</v>
      </c>
      <c r="E57" s="1"/>
      <c r="F57">
        <v>5</v>
      </c>
      <c r="G57">
        <v>0</v>
      </c>
      <c r="H57" t="s">
        <v>23</v>
      </c>
      <c r="I57">
        <v>5</v>
      </c>
      <c r="J57">
        <v>0</v>
      </c>
      <c r="K57">
        <v>0.45</v>
      </c>
      <c r="L57">
        <v>0</v>
      </c>
      <c r="M57" t="s">
        <v>23</v>
      </c>
      <c r="N57" t="s">
        <v>24</v>
      </c>
      <c r="P57" t="s">
        <v>432</v>
      </c>
      <c r="R57" t="s">
        <v>431</v>
      </c>
      <c r="S57" t="b">
        <v>1</v>
      </c>
      <c r="T57" t="s">
        <v>430</v>
      </c>
      <c r="V57" t="s">
        <v>429</v>
      </c>
    </row>
    <row r="58" spans="1:22" x14ac:dyDescent="0.2">
      <c r="D58" s="1"/>
      <c r="E58" s="1"/>
    </row>
    <row r="59" spans="1:22" x14ac:dyDescent="0.2">
      <c r="D59" s="1"/>
      <c r="E59" s="1"/>
    </row>
    <row r="60" spans="1:22" x14ac:dyDescent="0.2">
      <c r="D60" s="1"/>
      <c r="E60" s="1"/>
    </row>
    <row r="61" spans="1:22" x14ac:dyDescent="0.2">
      <c r="D61" s="1"/>
      <c r="E61" s="1"/>
    </row>
    <row r="62" spans="1:22" x14ac:dyDescent="0.2">
      <c r="D62" s="1"/>
      <c r="E62" s="1"/>
    </row>
    <row r="63" spans="1:22" x14ac:dyDescent="0.2">
      <c r="D63" s="1"/>
      <c r="E63" s="1"/>
    </row>
    <row r="64" spans="1:22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</sheetData>
  <autoFilter ref="A1:V57" xr:uid="{00000000-0009-0000-0000-000002000000}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44F8-B44C-CA44-9C7B-C0C6660E151F}">
  <dimension ref="A1:S3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33203125" bestFit="1" customWidth="1"/>
    <col min="2" max="2" width="11.5" customWidth="1"/>
    <col min="3" max="3" width="10.33203125" customWidth="1"/>
    <col min="4" max="4" width="19.5" bestFit="1" customWidth="1"/>
    <col min="6" max="6" width="22" customWidth="1"/>
    <col min="7" max="7" width="12.33203125" bestFit="1" customWidth="1"/>
    <col min="8" max="8" width="9.83203125" customWidth="1"/>
    <col min="10" max="10" width="10.6640625" bestFit="1" customWidth="1"/>
    <col min="13" max="13" width="14.33203125" bestFit="1" customWidth="1"/>
    <col min="14" max="14" width="10.1640625" bestFit="1" customWidth="1"/>
    <col min="15" max="15" width="12.83203125" customWidth="1"/>
    <col min="16" max="16" width="15.1640625" customWidth="1"/>
    <col min="18" max="18" width="10.5" customWidth="1"/>
    <col min="19" max="19" width="13.5" customWidth="1"/>
  </cols>
  <sheetData>
    <row r="1" spans="1:19" ht="24.5" customHeight="1" x14ac:dyDescent="0.2">
      <c r="A1" s="94" t="s">
        <v>658</v>
      </c>
      <c r="B1" s="95"/>
      <c r="C1" s="95"/>
      <c r="D1" s="96"/>
      <c r="F1" s="92" t="s">
        <v>681</v>
      </c>
      <c r="G1" s="90"/>
      <c r="H1" s="90"/>
      <c r="I1" s="90"/>
      <c r="J1" s="90"/>
      <c r="K1" s="90"/>
      <c r="L1" s="90"/>
      <c r="M1" s="90"/>
      <c r="N1" s="90"/>
      <c r="O1" s="90"/>
      <c r="P1" s="93"/>
      <c r="R1" s="8" t="s">
        <v>665</v>
      </c>
      <c r="S1" s="7" t="s">
        <v>667</v>
      </c>
    </row>
    <row r="2" spans="1:19" ht="32" x14ac:dyDescent="0.2">
      <c r="A2" s="29" t="s">
        <v>682</v>
      </c>
      <c r="B2" s="44" t="s">
        <v>427</v>
      </c>
      <c r="C2" s="18" t="s">
        <v>425</v>
      </c>
      <c r="D2" s="13" t="s">
        <v>659</v>
      </c>
      <c r="F2" s="3" t="s">
        <v>677</v>
      </c>
      <c r="R2" s="4">
        <v>750</v>
      </c>
      <c r="S2" s="11">
        <f>GETPIVOTDATA("Transaction Count",$A$2,"Coupon","ROTOWIRE")</f>
        <v>13</v>
      </c>
    </row>
    <row r="3" spans="1:19" x14ac:dyDescent="0.2">
      <c r="A3" s="32" t="s">
        <v>421</v>
      </c>
      <c r="B3" s="33">
        <v>6</v>
      </c>
      <c r="C3" s="4">
        <v>18.84</v>
      </c>
      <c r="D3" s="34">
        <v>3.14</v>
      </c>
      <c r="F3" s="3" t="s">
        <v>666</v>
      </c>
      <c r="R3" s="5">
        <v>0</v>
      </c>
      <c r="S3" s="9">
        <v>0</v>
      </c>
    </row>
    <row r="4" spans="1:19" x14ac:dyDescent="0.2">
      <c r="A4" s="27" t="s">
        <v>422</v>
      </c>
      <c r="B4" s="2">
        <v>13</v>
      </c>
      <c r="C4" s="5">
        <v>52</v>
      </c>
      <c r="D4" s="15">
        <v>4</v>
      </c>
      <c r="F4" s="3" t="s">
        <v>678</v>
      </c>
      <c r="R4" s="6">
        <v>0</v>
      </c>
      <c r="S4" s="10">
        <f>GETPIVOTDATA("Transaction Count",$A$2,"Coupon","PIDAY")+GETPIVOTDATA("Transaction Count",$A$2,"Coupon","WELCOMEBACK")</f>
        <v>7</v>
      </c>
    </row>
    <row r="5" spans="1:19" x14ac:dyDescent="0.2">
      <c r="A5" s="27" t="s">
        <v>423</v>
      </c>
      <c r="B5" s="2">
        <v>1</v>
      </c>
      <c r="C5" s="5">
        <v>4</v>
      </c>
      <c r="D5" s="15">
        <v>4</v>
      </c>
    </row>
    <row r="6" spans="1:19" x14ac:dyDescent="0.2">
      <c r="A6" s="35" t="s">
        <v>428</v>
      </c>
      <c r="B6" s="28">
        <v>79</v>
      </c>
      <c r="C6" s="6">
        <v>395</v>
      </c>
      <c r="D6" s="17">
        <v>5</v>
      </c>
    </row>
    <row r="7" spans="1:19" ht="16" thickBot="1" x14ac:dyDescent="0.25">
      <c r="A7" s="31" t="s">
        <v>424</v>
      </c>
      <c r="B7" s="28">
        <v>99</v>
      </c>
      <c r="C7" s="6">
        <v>469.84000000000003</v>
      </c>
      <c r="D7" s="17">
        <v>4.7458585858585858</v>
      </c>
    </row>
    <row r="8" spans="1:19" ht="15" customHeight="1" x14ac:dyDescent="0.2">
      <c r="A8" s="97" t="s">
        <v>658</v>
      </c>
      <c r="B8" s="98"/>
      <c r="C8" s="98"/>
      <c r="D8" s="99"/>
      <c r="F8" s="94" t="s">
        <v>684</v>
      </c>
      <c r="G8" s="95"/>
      <c r="H8" s="95"/>
      <c r="I8" s="95"/>
      <c r="J8" s="96"/>
      <c r="L8" s="97" t="s">
        <v>691</v>
      </c>
      <c r="M8" s="98"/>
      <c r="N8" s="98"/>
      <c r="O8" s="98"/>
      <c r="P8" s="99"/>
    </row>
    <row r="9" spans="1:19" x14ac:dyDescent="0.2">
      <c r="A9" s="53" t="s">
        <v>682</v>
      </c>
      <c r="B9" s="54" t="s">
        <v>675</v>
      </c>
      <c r="C9" s="100" t="s">
        <v>659</v>
      </c>
      <c r="D9" s="101"/>
      <c r="F9" s="54" t="s">
        <v>690</v>
      </c>
      <c r="G9" s="54" t="s">
        <v>689</v>
      </c>
      <c r="H9" s="54" t="s">
        <v>686</v>
      </c>
      <c r="I9" s="54" t="s">
        <v>685</v>
      </c>
      <c r="J9" s="54" t="s">
        <v>693</v>
      </c>
      <c r="L9" s="53" t="s">
        <v>682</v>
      </c>
      <c r="M9" s="54" t="s">
        <v>694</v>
      </c>
      <c r="N9" s="54" t="s">
        <v>675</v>
      </c>
      <c r="O9" s="54" t="s">
        <v>695</v>
      </c>
      <c r="P9" s="57" t="s">
        <v>696</v>
      </c>
    </row>
    <row r="10" spans="1:19" ht="16" thickBot="1" x14ac:dyDescent="0.25">
      <c r="A10" s="48">
        <v>99</v>
      </c>
      <c r="B10" s="49">
        <v>469.84</v>
      </c>
      <c r="C10" s="49">
        <v>4.75</v>
      </c>
      <c r="D10" s="50" t="s">
        <v>683</v>
      </c>
      <c r="F10" s="46" t="s">
        <v>687</v>
      </c>
      <c r="G10" s="47">
        <v>750</v>
      </c>
      <c r="H10" s="46">
        <v>13</v>
      </c>
      <c r="I10" s="47">
        <f>G10/H10</f>
        <v>57.692307692307693</v>
      </c>
      <c r="J10" s="47" t="s">
        <v>688</v>
      </c>
      <c r="L10" s="48">
        <f>A10</f>
        <v>99</v>
      </c>
      <c r="M10" s="55">
        <f>G12</f>
        <v>750</v>
      </c>
      <c r="N10" s="55">
        <f>B10</f>
        <v>469.84</v>
      </c>
      <c r="O10" s="58">
        <f>N10-M10</f>
        <v>-280.16000000000003</v>
      </c>
      <c r="P10" s="59">
        <f>O10/L10</f>
        <v>-2.8298989898989904</v>
      </c>
    </row>
    <row r="11" spans="1:19" x14ac:dyDescent="0.2">
      <c r="F11" s="46" t="s">
        <v>669</v>
      </c>
      <c r="G11" s="47">
        <v>0</v>
      </c>
      <c r="H11" s="46">
        <v>7</v>
      </c>
      <c r="I11" s="47">
        <f>G11/H11</f>
        <v>0</v>
      </c>
      <c r="J11" s="47" t="s">
        <v>688</v>
      </c>
    </row>
    <row r="12" spans="1:19" x14ac:dyDescent="0.2">
      <c r="F12" s="45" t="s">
        <v>692</v>
      </c>
      <c r="G12" s="56">
        <f>SUM(G10:G11)</f>
        <v>750</v>
      </c>
      <c r="H12" s="45">
        <v>99</v>
      </c>
      <c r="I12" s="56">
        <f>G12/H12</f>
        <v>7.5757575757575761</v>
      </c>
      <c r="J12" s="45" t="s">
        <v>688</v>
      </c>
    </row>
    <row r="15" spans="1:19" ht="16" thickBot="1" x14ac:dyDescent="0.25"/>
    <row r="16" spans="1:19" x14ac:dyDescent="0.2">
      <c r="A16" s="97" t="s">
        <v>660</v>
      </c>
      <c r="B16" s="98"/>
      <c r="C16" s="98"/>
      <c r="D16" s="99"/>
      <c r="F16" s="94" t="s">
        <v>684</v>
      </c>
      <c r="G16" s="95"/>
      <c r="H16" s="95"/>
      <c r="I16" s="95"/>
      <c r="J16" s="96"/>
      <c r="L16" s="97" t="s">
        <v>701</v>
      </c>
      <c r="M16" s="98"/>
      <c r="N16" s="98"/>
      <c r="O16" s="98"/>
      <c r="P16" s="99"/>
    </row>
    <row r="17" spans="1:16" x14ac:dyDescent="0.2">
      <c r="A17" s="51" t="s">
        <v>682</v>
      </c>
      <c r="B17" s="52" t="s">
        <v>675</v>
      </c>
      <c r="C17" s="102" t="s">
        <v>659</v>
      </c>
      <c r="D17" s="103"/>
      <c r="F17" s="54" t="s">
        <v>690</v>
      </c>
      <c r="G17" s="54" t="s">
        <v>689</v>
      </c>
      <c r="H17" s="54" t="s">
        <v>686</v>
      </c>
      <c r="I17" s="54" t="s">
        <v>685</v>
      </c>
      <c r="J17" s="54" t="s">
        <v>693</v>
      </c>
      <c r="L17" s="53" t="s">
        <v>682</v>
      </c>
      <c r="M17" s="54" t="s">
        <v>694</v>
      </c>
      <c r="N17" s="54" t="s">
        <v>675</v>
      </c>
      <c r="O17" s="54" t="s">
        <v>695</v>
      </c>
      <c r="P17" s="57" t="s">
        <v>696</v>
      </c>
    </row>
    <row r="18" spans="1:16" ht="16" thickBot="1" x14ac:dyDescent="0.25">
      <c r="A18" s="48">
        <v>56</v>
      </c>
      <c r="B18" s="49">
        <v>268.5</v>
      </c>
      <c r="C18" s="49">
        <v>4.79</v>
      </c>
      <c r="D18" s="50" t="s">
        <v>683</v>
      </c>
      <c r="F18" s="46" t="s">
        <v>697</v>
      </c>
      <c r="G18" s="47">
        <f>59.99+459.82</f>
        <v>519.80999999999995</v>
      </c>
      <c r="H18" s="46"/>
      <c r="I18" s="47"/>
      <c r="J18" s="47"/>
      <c r="L18" s="48">
        <f>A18</f>
        <v>56</v>
      </c>
      <c r="M18" s="55">
        <f>G23</f>
        <v>2565.77</v>
      </c>
      <c r="N18" s="55">
        <f>B18</f>
        <v>268.5</v>
      </c>
      <c r="O18" s="58">
        <f>N18-M18</f>
        <v>-2297.27</v>
      </c>
      <c r="P18" s="59">
        <f>O18/L18</f>
        <v>-41.022678571428571</v>
      </c>
    </row>
    <row r="19" spans="1:16" x14ac:dyDescent="0.2">
      <c r="F19" s="46" t="s">
        <v>698</v>
      </c>
      <c r="G19" s="47">
        <v>1245.96</v>
      </c>
      <c r="H19" s="46"/>
      <c r="I19" s="47"/>
      <c r="J19" s="47"/>
    </row>
    <row r="20" spans="1:16" x14ac:dyDescent="0.2">
      <c r="F20" s="46" t="s">
        <v>699</v>
      </c>
      <c r="G20" s="47">
        <v>800</v>
      </c>
      <c r="H20" s="46"/>
      <c r="I20" s="47"/>
      <c r="J20" s="47"/>
    </row>
    <row r="21" spans="1:16" x14ac:dyDescent="0.2">
      <c r="F21" s="46" t="s">
        <v>700</v>
      </c>
      <c r="G21" s="47"/>
      <c r="H21" s="46">
        <f>56-H22</f>
        <v>49</v>
      </c>
      <c r="I21" s="47"/>
      <c r="J21" s="47"/>
    </row>
    <row r="22" spans="1:16" x14ac:dyDescent="0.2">
      <c r="F22" s="46" t="s">
        <v>669</v>
      </c>
      <c r="G22" s="47">
        <v>0</v>
      </c>
      <c r="H22" s="46">
        <v>7</v>
      </c>
      <c r="I22" s="47">
        <f>G22/H22</f>
        <v>0</v>
      </c>
      <c r="J22" s="47" t="s">
        <v>688</v>
      </c>
    </row>
    <row r="23" spans="1:16" x14ac:dyDescent="0.2">
      <c r="F23" s="45" t="s">
        <v>692</v>
      </c>
      <c r="G23" s="56">
        <f>SUM(G18:G22)</f>
        <v>2565.77</v>
      </c>
      <c r="H23" s="45">
        <f>SUM(H18:H22)</f>
        <v>56</v>
      </c>
      <c r="I23" s="56">
        <f>G23/H23</f>
        <v>45.817321428571425</v>
      </c>
      <c r="J23" s="45" t="s">
        <v>688</v>
      </c>
    </row>
    <row r="25" spans="1:16" ht="16" thickBot="1" x14ac:dyDescent="0.25"/>
    <row r="26" spans="1:16" x14ac:dyDescent="0.2">
      <c r="A26" s="97" t="s">
        <v>702</v>
      </c>
      <c r="B26" s="98"/>
      <c r="C26" s="98"/>
      <c r="D26" s="99"/>
      <c r="F26" s="94" t="s">
        <v>705</v>
      </c>
      <c r="G26" s="95"/>
      <c r="H26" s="95"/>
      <c r="I26" s="95"/>
      <c r="J26" s="96"/>
      <c r="L26" s="97" t="s">
        <v>701</v>
      </c>
      <c r="M26" s="98"/>
      <c r="N26" s="98"/>
      <c r="O26" s="98"/>
      <c r="P26" s="99"/>
    </row>
    <row r="27" spans="1:16" x14ac:dyDescent="0.2">
      <c r="A27" s="51" t="s">
        <v>682</v>
      </c>
      <c r="B27" s="52" t="s">
        <v>675</v>
      </c>
      <c r="C27" s="102" t="s">
        <v>704</v>
      </c>
      <c r="D27" s="103"/>
      <c r="F27" s="54" t="s">
        <v>690</v>
      </c>
      <c r="G27" s="54" t="s">
        <v>689</v>
      </c>
      <c r="H27" s="54" t="s">
        <v>686</v>
      </c>
      <c r="I27" s="54" t="s">
        <v>685</v>
      </c>
      <c r="J27" s="54" t="s">
        <v>693</v>
      </c>
      <c r="L27" s="53" t="s">
        <v>682</v>
      </c>
      <c r="M27" s="54" t="s">
        <v>694</v>
      </c>
      <c r="N27" s="54" t="s">
        <v>675</v>
      </c>
      <c r="O27" s="54" t="s">
        <v>695</v>
      </c>
      <c r="P27" s="57" t="s">
        <v>696</v>
      </c>
    </row>
    <row r="28" spans="1:16" ht="16" thickBot="1" x14ac:dyDescent="0.25">
      <c r="A28" s="48">
        <v>3</v>
      </c>
      <c r="B28" s="49">
        <v>2500</v>
      </c>
      <c r="C28" s="49">
        <f>B28*4</f>
        <v>10000</v>
      </c>
      <c r="D28" s="50" t="s">
        <v>703</v>
      </c>
      <c r="F28" s="46" t="s">
        <v>697</v>
      </c>
      <c r="G28" s="47">
        <v>59.99</v>
      </c>
      <c r="H28" s="46">
        <v>20</v>
      </c>
      <c r="I28" s="47">
        <f>G28/H28</f>
        <v>2.9995000000000003</v>
      </c>
      <c r="J28" s="47" t="s">
        <v>706</v>
      </c>
      <c r="L28" s="48">
        <f>A28</f>
        <v>3</v>
      </c>
      <c r="M28" s="55">
        <f>G30</f>
        <v>1059.99</v>
      </c>
      <c r="N28" s="55">
        <f>C28</f>
        <v>10000</v>
      </c>
      <c r="O28" s="60">
        <f>N28-M28</f>
        <v>8940.01</v>
      </c>
      <c r="P28" s="61">
        <f>O28/L28</f>
        <v>2980.0033333333336</v>
      </c>
    </row>
    <row r="29" spans="1:16" ht="30" customHeight="1" x14ac:dyDescent="0.2">
      <c r="F29" s="62" t="s">
        <v>707</v>
      </c>
      <c r="G29" s="47">
        <v>1000</v>
      </c>
      <c r="H29" s="46">
        <v>10</v>
      </c>
      <c r="I29" s="47">
        <f>G29/H29</f>
        <v>100</v>
      </c>
      <c r="J29" s="47" t="s">
        <v>706</v>
      </c>
    </row>
    <row r="30" spans="1:16" x14ac:dyDescent="0.2">
      <c r="F30" s="45" t="s">
        <v>692</v>
      </c>
      <c r="G30" s="56">
        <f>SUM(G25:G29)</f>
        <v>1059.99</v>
      </c>
      <c r="H30" s="45">
        <f>SUM(H25:H29)</f>
        <v>30</v>
      </c>
      <c r="I30" s="56">
        <f>G30/H30</f>
        <v>35.332999999999998</v>
      </c>
      <c r="J30" s="45" t="s">
        <v>706</v>
      </c>
    </row>
  </sheetData>
  <mergeCells count="14">
    <mergeCell ref="A26:D26"/>
    <mergeCell ref="C27:D27"/>
    <mergeCell ref="F26:J26"/>
    <mergeCell ref="L26:P26"/>
    <mergeCell ref="A16:D16"/>
    <mergeCell ref="C17:D17"/>
    <mergeCell ref="F8:J8"/>
    <mergeCell ref="F16:J16"/>
    <mergeCell ref="L16:P16"/>
    <mergeCell ref="A1:D1"/>
    <mergeCell ref="F1:P1"/>
    <mergeCell ref="A8:D8"/>
    <mergeCell ref="L8:P8"/>
    <mergeCell ref="C9:D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payments_2025</vt:lpstr>
      <vt:lpstr>payments_2024</vt:lpstr>
      <vt:lpstr>payments_2023</vt:lpstr>
      <vt:lpstr>payments_2022</vt:lpstr>
      <vt:lpstr>payments_2021</vt:lpstr>
      <vt:lpstr>Comparisons Consumer v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Lipsy</dc:creator>
  <cp:lastModifiedBy>Dan Lipsy</cp:lastModifiedBy>
  <cp:lastPrinted>2025-03-22T18:19:07Z</cp:lastPrinted>
  <dcterms:created xsi:type="dcterms:W3CDTF">2022-03-24T02:32:30Z</dcterms:created>
  <dcterms:modified xsi:type="dcterms:W3CDTF">2025-03-22T18:19:09Z</dcterms:modified>
</cp:coreProperties>
</file>